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ursos\excel\7-Gráficos\"/>
    </mc:Choice>
  </mc:AlternateContent>
  <xr:revisionPtr revIDLastSave="0" documentId="13_ncr:1_{9B7CEBDE-46AC-481A-8F1C-36C8C37902D0}" xr6:coauthVersionLast="47" xr6:coauthVersionMax="47" xr10:uidLastSave="{00000000-0000-0000-0000-000000000000}"/>
  <bookViews>
    <workbookView xWindow="-120" yWindow="-120" windowWidth="20730" windowHeight="11160" activeTab="1" xr2:uid="{25E5CC15-4B2E-4140-8F38-E3ADA3265091}"/>
  </bookViews>
  <sheets>
    <sheet name="Gabarito" sheetId="2" r:id="rId1"/>
    <sheet name="DoZer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2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J3" i="3"/>
  <c r="H3" i="3"/>
  <c r="C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H3" i="2"/>
  <c r="L3" i="3" l="1"/>
  <c r="L2" i="3"/>
  <c r="J3" i="2"/>
  <c r="E15" i="2" s="1"/>
  <c r="L3" i="2" l="1"/>
  <c r="L2" i="2"/>
  <c r="M2" i="2" s="1"/>
  <c r="F5" i="2"/>
  <c r="F13" i="2"/>
  <c r="F21" i="2"/>
  <c r="F29" i="2"/>
  <c r="F37" i="2"/>
  <c r="F45" i="2"/>
  <c r="F53" i="2"/>
  <c r="F6" i="2"/>
  <c r="F14" i="2"/>
  <c r="F22" i="2"/>
  <c r="F30" i="2"/>
  <c r="F38" i="2"/>
  <c r="F46" i="2"/>
  <c r="F54" i="2"/>
  <c r="F7" i="2"/>
  <c r="F15" i="2"/>
  <c r="F23" i="2"/>
  <c r="F31" i="2"/>
  <c r="F39" i="2"/>
  <c r="F47" i="2"/>
  <c r="F55" i="2"/>
  <c r="F8" i="2"/>
  <c r="F16" i="2"/>
  <c r="F24" i="2"/>
  <c r="F32" i="2"/>
  <c r="F40" i="2"/>
  <c r="F48" i="2"/>
  <c r="F56" i="2"/>
  <c r="F12" i="2"/>
  <c r="F36" i="2"/>
  <c r="F52" i="2"/>
  <c r="F9" i="2"/>
  <c r="F17" i="2"/>
  <c r="F25" i="2"/>
  <c r="F33" i="2"/>
  <c r="F41" i="2"/>
  <c r="F49" i="2"/>
  <c r="F2" i="2"/>
  <c r="F10" i="2"/>
  <c r="F18" i="2"/>
  <c r="F26" i="2"/>
  <c r="F34" i="2"/>
  <c r="F42" i="2"/>
  <c r="F50" i="2"/>
  <c r="F3" i="2"/>
  <c r="F11" i="2"/>
  <c r="F19" i="2"/>
  <c r="F27" i="2"/>
  <c r="F35" i="2"/>
  <c r="F43" i="2"/>
  <c r="F51" i="2"/>
  <c r="F4" i="2"/>
  <c r="F20" i="2"/>
  <c r="F28" i="2"/>
  <c r="F44" i="2"/>
  <c r="E5" i="2"/>
  <c r="E13" i="2"/>
  <c r="E21" i="2"/>
  <c r="E29" i="2"/>
  <c r="E37" i="2"/>
  <c r="E45" i="2"/>
  <c r="E53" i="2"/>
  <c r="E31" i="2"/>
  <c r="E55" i="2"/>
  <c r="E6" i="2"/>
  <c r="E14" i="2"/>
  <c r="E22" i="2"/>
  <c r="E30" i="2"/>
  <c r="E38" i="2"/>
  <c r="E46" i="2"/>
  <c r="E54" i="2"/>
  <c r="E7" i="2"/>
  <c r="E23" i="2"/>
  <c r="E39" i="2"/>
  <c r="E47" i="2"/>
  <c r="E8" i="2"/>
  <c r="E16" i="2"/>
  <c r="E24" i="2"/>
  <c r="E40" i="2"/>
  <c r="E48" i="2"/>
  <c r="E56" i="2"/>
  <c r="E32" i="2"/>
  <c r="E9" i="2"/>
  <c r="E17" i="2"/>
  <c r="E25" i="2"/>
  <c r="E33" i="2"/>
  <c r="E41" i="2"/>
  <c r="E49" i="2"/>
  <c r="E2" i="2"/>
  <c r="E11" i="2"/>
  <c r="E35" i="2"/>
  <c r="E51" i="2"/>
  <c r="E4" i="2"/>
  <c r="E28" i="2"/>
  <c r="E44" i="2"/>
  <c r="E10" i="2"/>
  <c r="E18" i="2"/>
  <c r="E26" i="2"/>
  <c r="E34" i="2"/>
  <c r="E42" i="2"/>
  <c r="E50" i="2"/>
  <c r="E3" i="2"/>
  <c r="E19" i="2"/>
  <c r="E27" i="2"/>
  <c r="E43" i="2"/>
  <c r="E12" i="2"/>
  <c r="E20" i="2"/>
  <c r="E36" i="2"/>
  <c r="E52" i="2"/>
</calcChain>
</file>

<file path=xl/sharedStrings.xml><?xml version="1.0" encoding="utf-8"?>
<sst xmlns="http://schemas.openxmlformats.org/spreadsheetml/2006/main" count="18" uniqueCount="11">
  <si>
    <t>Data</t>
  </si>
  <si>
    <t>Fechamento</t>
  </si>
  <si>
    <t>Data compra</t>
  </si>
  <si>
    <t>Data Venda</t>
  </si>
  <si>
    <t>Aux1</t>
  </si>
  <si>
    <t>Aux2</t>
  </si>
  <si>
    <t>Aux3</t>
  </si>
  <si>
    <t>Aux4</t>
  </si>
  <si>
    <t>Variação</t>
  </si>
  <si>
    <t>Data1</t>
  </si>
  <si>
    <t>Data2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</si>
</sst>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4" fontId="0" fillId="0" borderId="0" xfId="0" applyNumberFormat="1"/>
    <xf numFmtId="0" fontId="3" fillId="0" borderId="0" xfId="0" applyFont="1" applyFill="1" applyAlignment="1">
      <alignment horizontal="left"/>
    </xf>
    <xf numFmtId="10" fontId="3" fillId="0" borderId="0" xfId="1" applyNumberFormat="1" applyFont="1" applyFill="1" applyAlignment="1">
      <alignment horizontal="left"/>
    </xf>
    <xf numFmtId="164" fontId="3" fillId="0" borderId="0" xfId="0" applyNumberFormat="1" applyFont="1" applyFill="1" applyAlignment="1">
      <alignment horizontal="left"/>
    </xf>
    <xf numFmtId="14" fontId="3" fillId="2" borderId="1" xfId="0" applyNumberFormat="1" applyFont="1" applyFill="1" applyBorder="1" applyAlignment="1">
      <alignment horizontal="left"/>
    </xf>
    <xf numFmtId="0" fontId="2" fillId="0" borderId="0" xfId="0" applyFont="1"/>
    <xf numFmtId="1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10" fontId="0" fillId="0" borderId="0" xfId="1" applyNumberFormat="1" applyFont="1" applyAlignment="1">
      <alignment horizontal="left"/>
    </xf>
  </cellXfs>
  <cellStyles count="2">
    <cellStyle name="Normal" xfId="0" builtinId="0"/>
    <cellStyle name="Porcentagem" xfId="1" builtinId="5"/>
  </cellStyles>
  <dxfs count="4">
    <dxf>
      <fill>
        <patternFill>
          <bgColor rgb="FF47FF9A"/>
        </patternFill>
      </fill>
    </dxf>
    <dxf>
      <fill>
        <patternFill>
          <bgColor rgb="FFFF8181"/>
        </patternFill>
      </fill>
    </dxf>
    <dxf>
      <fill>
        <patternFill>
          <bgColor rgb="FF83FF7D"/>
        </patternFill>
      </fill>
    </dxf>
    <dxf>
      <fill>
        <patternFill>
          <bgColor rgb="FFFFABAB"/>
        </patternFill>
      </fill>
    </dxf>
  </dxfs>
  <tableStyles count="0" defaultTableStyle="TableStyleMedium2" defaultPivotStyle="PivotStyleLight16"/>
  <colors>
    <mruColors>
      <color rgb="FFFF5B5B"/>
      <color rgb="FF4BFF9C"/>
      <color rgb="FFFF8181"/>
      <color rgb="FF47FF9A"/>
      <color rgb="FFFFABAB"/>
      <color rgb="FF83FF7D"/>
      <color rgb="FF1DFF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3"/>
          <c:order val="3"/>
          <c:tx>
            <c:strRef>
              <c:f>Gabarito!$E$1</c:f>
              <c:strCache>
                <c:ptCount val="1"/>
                <c:pt idx="0">
                  <c:v>Aux3</c:v>
                </c:pt>
              </c:strCache>
            </c:strRef>
          </c:tx>
          <c:spPr>
            <a:solidFill>
              <a:srgbClr val="1DFF83">
                <a:alpha val="50000"/>
              </a:srgbClr>
            </a:solidFill>
            <a:ln>
              <a:noFill/>
            </a:ln>
            <a:effectLst/>
          </c:spPr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Gabarito!$E$2:$E$56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0BD-49E6-BAB7-1FF2B9EB7427}"/>
            </c:ext>
          </c:extLst>
        </c:ser>
        <c:ser>
          <c:idx val="4"/>
          <c:order val="4"/>
          <c:tx>
            <c:strRef>
              <c:f>Gabarito!$F$1</c:f>
              <c:strCache>
                <c:ptCount val="1"/>
                <c:pt idx="0">
                  <c:v>Aux4</c:v>
                </c:pt>
              </c:strCache>
            </c:strRef>
          </c:tx>
          <c:spPr>
            <a:solidFill>
              <a:srgbClr val="FF5B5B">
                <a:alpha val="50000"/>
              </a:srgbClr>
            </a:solidFill>
            <a:ln>
              <a:noFill/>
            </a:ln>
            <a:effectLst/>
          </c:spPr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Gabarito!$F$2:$F$56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118.68</c:v>
                </c:pt>
                <c:pt idx="9">
                  <c:v>115.78</c:v>
                </c:pt>
                <c:pt idx="10">
                  <c:v>116.54</c:v>
                </c:pt>
                <c:pt idx="11">
                  <c:v>116</c:v>
                </c:pt>
                <c:pt idx="12">
                  <c:v>115.24</c:v>
                </c:pt>
                <c:pt idx="13">
                  <c:v>113.81</c:v>
                </c:pt>
                <c:pt idx="14">
                  <c:v>113.18</c:v>
                </c:pt>
                <c:pt idx="15">
                  <c:v>112.08</c:v>
                </c:pt>
                <c:pt idx="16">
                  <c:v>110.96</c:v>
                </c:pt>
                <c:pt idx="17">
                  <c:v>114.51</c:v>
                </c:pt>
                <c:pt idx="18">
                  <c:v>110.56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114.91</c:v>
                </c:pt>
                <c:pt idx="26">
                  <c:v>113.92</c:v>
                </c:pt>
                <c:pt idx="27">
                  <c:v>114.9</c:v>
                </c:pt>
                <c:pt idx="28">
                  <c:v>115.05</c:v>
                </c:pt>
                <c:pt idx="29">
                  <c:v>115.86</c:v>
                </c:pt>
                <c:pt idx="30">
                  <c:v>114.61</c:v>
                </c:pt>
                <c:pt idx="31">
                  <c:v>113.82</c:v>
                </c:pt>
                <c:pt idx="32">
                  <c:v>108.25</c:v>
                </c:pt>
                <c:pt idx="33">
                  <c:v>110.76</c:v>
                </c:pt>
                <c:pt idx="34">
                  <c:v>111.46</c:v>
                </c:pt>
                <c:pt idx="35">
                  <c:v>107.53</c:v>
                </c:pt>
                <c:pt idx="36">
                  <c:v>105.59</c:v>
                </c:pt>
                <c:pt idx="37">
                  <c:v>105.94</c:v>
                </c:pt>
                <c:pt idx="38">
                  <c:v>107.5</c:v>
                </c:pt>
                <c:pt idx="39">
                  <c:v>107.16</c:v>
                </c:pt>
                <c:pt idx="40">
                  <c:v>108.57</c:v>
                </c:pt>
                <c:pt idx="41">
                  <c:v>110.93</c:v>
                </c:pt>
                <c:pt idx="42">
                  <c:v>105.35</c:v>
                </c:pt>
                <c:pt idx="43">
                  <c:v>107.19</c:v>
                </c:pt>
                <c:pt idx="44">
                  <c:v>108.63</c:v>
                </c:pt>
                <c:pt idx="45">
                  <c:v>110.45</c:v>
                </c:pt>
                <c:pt idx="46">
                  <c:v>109.68</c:v>
                </c:pt>
                <c:pt idx="47">
                  <c:v>110.66</c:v>
                </c:pt>
                <c:pt idx="48">
                  <c:v>109.69</c:v>
                </c:pt>
                <c:pt idx="49">
                  <c:v>112.05</c:v>
                </c:pt>
                <c:pt idx="50">
                  <c:v>110.5</c:v>
                </c:pt>
                <c:pt idx="51">
                  <c:v>111.7</c:v>
                </c:pt>
                <c:pt idx="52">
                  <c:v>110.69</c:v>
                </c:pt>
                <c:pt idx="53">
                  <c:v>109.02</c:v>
                </c:pt>
                <c:pt idx="54">
                  <c:v>110.33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0BD-49E6-BAB7-1FF2B9EB7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692880"/>
        <c:axId val="429693296"/>
      </c:areaChart>
      <c:lineChart>
        <c:grouping val="standard"/>
        <c:varyColors val="0"/>
        <c:ser>
          <c:idx val="0"/>
          <c:order val="0"/>
          <c:tx>
            <c:strRef>
              <c:f>Gabarito!$B$1</c:f>
              <c:strCache>
                <c:ptCount val="1"/>
                <c:pt idx="0">
                  <c:v>Fechamento</c:v>
                </c:pt>
              </c:strCache>
            </c:strRef>
          </c:tx>
          <c:spPr>
            <a:ln w="9525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Gabarito!$B$2:$B$56</c:f>
              <c:numCache>
                <c:formatCode>"R$"\ #,##0.00</c:formatCode>
                <c:ptCount val="55"/>
                <c:pt idx="0">
                  <c:v>114.09</c:v>
                </c:pt>
                <c:pt idx="1">
                  <c:v>114.69</c:v>
                </c:pt>
                <c:pt idx="2">
                  <c:v>114.55</c:v>
                </c:pt>
                <c:pt idx="3">
                  <c:v>118.37</c:v>
                </c:pt>
                <c:pt idx="4">
                  <c:v>120.4</c:v>
                </c:pt>
                <c:pt idx="5">
                  <c:v>118.62</c:v>
                </c:pt>
                <c:pt idx="6">
                  <c:v>119.45</c:v>
                </c:pt>
                <c:pt idx="7">
                  <c:v>117.36</c:v>
                </c:pt>
                <c:pt idx="8">
                  <c:v>118.68</c:v>
                </c:pt>
                <c:pt idx="9">
                  <c:v>115.78</c:v>
                </c:pt>
                <c:pt idx="10">
                  <c:v>116.54</c:v>
                </c:pt>
                <c:pt idx="11">
                  <c:v>116</c:v>
                </c:pt>
                <c:pt idx="12">
                  <c:v>115.24</c:v>
                </c:pt>
                <c:pt idx="13">
                  <c:v>113.81</c:v>
                </c:pt>
                <c:pt idx="14">
                  <c:v>113.18</c:v>
                </c:pt>
                <c:pt idx="15">
                  <c:v>112.08</c:v>
                </c:pt>
                <c:pt idx="16">
                  <c:v>110.96</c:v>
                </c:pt>
                <c:pt idx="17">
                  <c:v>114.51</c:v>
                </c:pt>
                <c:pt idx="18">
                  <c:v>110.56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114.91</c:v>
                </c:pt>
                <c:pt idx="26">
                  <c:v>113.92</c:v>
                </c:pt>
                <c:pt idx="27">
                  <c:v>114.9</c:v>
                </c:pt>
                <c:pt idx="28">
                  <c:v>115.05</c:v>
                </c:pt>
                <c:pt idx="29">
                  <c:v>115.86</c:v>
                </c:pt>
                <c:pt idx="30">
                  <c:v>114.61</c:v>
                </c:pt>
                <c:pt idx="31">
                  <c:v>113.82</c:v>
                </c:pt>
                <c:pt idx="32">
                  <c:v>108.25</c:v>
                </c:pt>
                <c:pt idx="33">
                  <c:v>110.76</c:v>
                </c:pt>
                <c:pt idx="34">
                  <c:v>111.46</c:v>
                </c:pt>
                <c:pt idx="35">
                  <c:v>107.53</c:v>
                </c:pt>
                <c:pt idx="36">
                  <c:v>105.59</c:v>
                </c:pt>
                <c:pt idx="37">
                  <c:v>105.94</c:v>
                </c:pt>
                <c:pt idx="38">
                  <c:v>107.5</c:v>
                </c:pt>
                <c:pt idx="39">
                  <c:v>107.16</c:v>
                </c:pt>
                <c:pt idx="40">
                  <c:v>108.57</c:v>
                </c:pt>
                <c:pt idx="41">
                  <c:v>110.93</c:v>
                </c:pt>
                <c:pt idx="42">
                  <c:v>105.35</c:v>
                </c:pt>
                <c:pt idx="43">
                  <c:v>107.19</c:v>
                </c:pt>
                <c:pt idx="44">
                  <c:v>108.63</c:v>
                </c:pt>
                <c:pt idx="45">
                  <c:v>110.45</c:v>
                </c:pt>
                <c:pt idx="46">
                  <c:v>109.68</c:v>
                </c:pt>
                <c:pt idx="47">
                  <c:v>110.66</c:v>
                </c:pt>
                <c:pt idx="48">
                  <c:v>109.69</c:v>
                </c:pt>
                <c:pt idx="49">
                  <c:v>112.05</c:v>
                </c:pt>
                <c:pt idx="50">
                  <c:v>110.5</c:v>
                </c:pt>
                <c:pt idx="51">
                  <c:v>111.7</c:v>
                </c:pt>
                <c:pt idx="52">
                  <c:v>110.69</c:v>
                </c:pt>
                <c:pt idx="53">
                  <c:v>109.02</c:v>
                </c:pt>
                <c:pt idx="54">
                  <c:v>110.33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D-49E6-BAB7-1FF2B9EB7427}"/>
            </c:ext>
          </c:extLst>
        </c:ser>
        <c:ser>
          <c:idx val="1"/>
          <c:order val="1"/>
          <c:tx>
            <c:strRef>
              <c:f>Gabarito!$C$1</c:f>
              <c:strCache>
                <c:ptCount val="1"/>
                <c:pt idx="0">
                  <c:v>Aux1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tx1">
                  <a:lumMod val="75000"/>
                  <a:lumOff val="25000"/>
                  <a:alpha val="20000"/>
                </a:schemeClr>
              </a:solidFill>
              <a:ln w="9525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noFill/>
              <a:ln>
                <a:solidFill>
                  <a:schemeClr val="tx1">
                    <a:lumMod val="75000"/>
                    <a:lumOff val="2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Gabarito!$C$2:$C$56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118.68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BD-49E6-BAB7-1FF2B9EB7427}"/>
            </c:ext>
          </c:extLst>
        </c:ser>
        <c:ser>
          <c:idx val="2"/>
          <c:order val="2"/>
          <c:tx>
            <c:strRef>
              <c:f>Gabarito!$D$1</c:f>
              <c:strCache>
                <c:ptCount val="1"/>
                <c:pt idx="0">
                  <c:v>Aux2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tx1">
                  <a:lumMod val="75000"/>
                  <a:lumOff val="25000"/>
                  <a:alpha val="20000"/>
                </a:schemeClr>
              </a:solidFill>
              <a:ln w="9525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Gabarito!$A$2:$A$56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Gabarito!$D$2:$D$56</c:f>
              <c:numCache>
                <c:formatCode>"R$"\ #,##0.00</c:formatCode>
                <c:ptCount val="5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110.33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BD-49E6-BAB7-1FF2B9EB7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692880"/>
        <c:axId val="429693296"/>
      </c:lineChart>
      <c:dateAx>
        <c:axId val="4296928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93296"/>
        <c:crosses val="autoZero"/>
        <c:auto val="1"/>
        <c:lblOffset val="100"/>
        <c:baseTimeUnit val="days"/>
        <c:majorUnit val="1"/>
        <c:majorTimeUnit val="days"/>
      </c:dateAx>
      <c:valAx>
        <c:axId val="429693296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928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DoZero!$B$1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DoZero!$B$2:$B$56</c:f>
              <c:numCache>
                <c:formatCode>"R$"\ #,##0.00</c:formatCode>
                <c:ptCount val="55"/>
                <c:pt idx="0">
                  <c:v>114.09</c:v>
                </c:pt>
                <c:pt idx="1">
                  <c:v>114.69</c:v>
                </c:pt>
                <c:pt idx="2">
                  <c:v>114.55</c:v>
                </c:pt>
                <c:pt idx="3">
                  <c:v>118.37</c:v>
                </c:pt>
                <c:pt idx="4">
                  <c:v>120.4</c:v>
                </c:pt>
                <c:pt idx="5">
                  <c:v>118.62</c:v>
                </c:pt>
                <c:pt idx="6">
                  <c:v>119.45</c:v>
                </c:pt>
                <c:pt idx="7">
                  <c:v>117.36</c:v>
                </c:pt>
                <c:pt idx="8">
                  <c:v>118.68</c:v>
                </c:pt>
                <c:pt idx="9">
                  <c:v>115.78</c:v>
                </c:pt>
                <c:pt idx="10">
                  <c:v>116.54</c:v>
                </c:pt>
                <c:pt idx="11">
                  <c:v>116</c:v>
                </c:pt>
                <c:pt idx="12">
                  <c:v>115.24</c:v>
                </c:pt>
                <c:pt idx="13">
                  <c:v>113.81</c:v>
                </c:pt>
                <c:pt idx="14">
                  <c:v>113.18</c:v>
                </c:pt>
                <c:pt idx="15">
                  <c:v>112.08</c:v>
                </c:pt>
                <c:pt idx="16">
                  <c:v>110.96</c:v>
                </c:pt>
                <c:pt idx="17">
                  <c:v>114.51</c:v>
                </c:pt>
                <c:pt idx="18">
                  <c:v>110.56</c:v>
                </c:pt>
                <c:pt idx="19">
                  <c:v>113.06</c:v>
                </c:pt>
                <c:pt idx="20">
                  <c:v>113.85</c:v>
                </c:pt>
                <c:pt idx="21">
                  <c:v>115.25</c:v>
                </c:pt>
                <c:pt idx="22">
                  <c:v>114.62</c:v>
                </c:pt>
                <c:pt idx="23">
                  <c:v>115.82</c:v>
                </c:pt>
                <c:pt idx="24">
                  <c:v>115.18</c:v>
                </c:pt>
                <c:pt idx="25">
                  <c:v>114.91</c:v>
                </c:pt>
                <c:pt idx="26">
                  <c:v>113.92</c:v>
                </c:pt>
                <c:pt idx="27">
                  <c:v>114.9</c:v>
                </c:pt>
                <c:pt idx="28">
                  <c:v>115.05</c:v>
                </c:pt>
                <c:pt idx="29">
                  <c:v>115.86</c:v>
                </c:pt>
                <c:pt idx="30">
                  <c:v>114.61</c:v>
                </c:pt>
                <c:pt idx="31">
                  <c:v>113.82</c:v>
                </c:pt>
                <c:pt idx="32">
                  <c:v>108.25</c:v>
                </c:pt>
                <c:pt idx="33">
                  <c:v>110.76</c:v>
                </c:pt>
                <c:pt idx="34">
                  <c:v>111.46</c:v>
                </c:pt>
                <c:pt idx="35">
                  <c:v>107.53</c:v>
                </c:pt>
                <c:pt idx="36">
                  <c:v>105.59</c:v>
                </c:pt>
                <c:pt idx="37">
                  <c:v>105.94</c:v>
                </c:pt>
                <c:pt idx="38">
                  <c:v>107.5</c:v>
                </c:pt>
                <c:pt idx="39">
                  <c:v>107.16</c:v>
                </c:pt>
                <c:pt idx="40">
                  <c:v>108.57</c:v>
                </c:pt>
                <c:pt idx="41">
                  <c:v>110.93</c:v>
                </c:pt>
                <c:pt idx="42">
                  <c:v>105.35</c:v>
                </c:pt>
                <c:pt idx="43">
                  <c:v>107.19</c:v>
                </c:pt>
                <c:pt idx="44">
                  <c:v>108.63</c:v>
                </c:pt>
                <c:pt idx="45">
                  <c:v>110.45</c:v>
                </c:pt>
                <c:pt idx="46">
                  <c:v>109.68</c:v>
                </c:pt>
                <c:pt idx="47">
                  <c:v>110.66</c:v>
                </c:pt>
                <c:pt idx="48">
                  <c:v>109.69</c:v>
                </c:pt>
                <c:pt idx="49">
                  <c:v>112.05</c:v>
                </c:pt>
                <c:pt idx="50">
                  <c:v>110.5</c:v>
                </c:pt>
                <c:pt idx="51">
                  <c:v>111.7</c:v>
                </c:pt>
                <c:pt idx="52">
                  <c:v>110.69</c:v>
                </c:pt>
                <c:pt idx="53">
                  <c:v>109.02</c:v>
                </c:pt>
                <c:pt idx="54">
                  <c:v>110.33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09-4D3D-93C2-79A700B4EB0F}"/>
            </c:ext>
          </c:extLst>
        </c:ser>
        <c:ser>
          <c:idx val="1"/>
          <c:order val="1"/>
          <c:tx>
            <c:strRef>
              <c:f>DoZero!$C$1</c:f>
              <c:strCache>
                <c:ptCount val="1"/>
                <c:pt idx="0">
                  <c:v>Aux1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2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DoZero!$C$2:$C$56</c:f>
              <c:numCache>
                <c:formatCode>"R$"\ #,##0.00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105.94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09-4D3D-93C2-79A700B4EB0F}"/>
            </c:ext>
          </c:extLst>
        </c:ser>
        <c:ser>
          <c:idx val="2"/>
          <c:order val="2"/>
          <c:tx>
            <c:strRef>
              <c:f>DoZero!$D$1</c:f>
              <c:strCache>
                <c:ptCount val="1"/>
                <c:pt idx="0">
                  <c:v>Aux2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DoZero!$A$2:$A$56</c:f>
              <c:numCache>
                <c:formatCode>m/d/yyyy</c:formatCode>
                <c:ptCount val="5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44222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44244</c:v>
                </c:pt>
                <c:pt idx="30">
                  <c:v>44245</c:v>
                </c:pt>
                <c:pt idx="31">
                  <c:v>44246</c:v>
                </c:pt>
                <c:pt idx="32">
                  <c:v>44249</c:v>
                </c:pt>
                <c:pt idx="33">
                  <c:v>44250</c:v>
                </c:pt>
                <c:pt idx="34">
                  <c:v>44251</c:v>
                </c:pt>
                <c:pt idx="35">
                  <c:v>44252</c:v>
                </c:pt>
                <c:pt idx="36">
                  <c:v>44253</c:v>
                </c:pt>
                <c:pt idx="37">
                  <c:v>44256</c:v>
                </c:pt>
                <c:pt idx="38">
                  <c:v>44257</c:v>
                </c:pt>
                <c:pt idx="39">
                  <c:v>44258</c:v>
                </c:pt>
                <c:pt idx="40">
                  <c:v>44259</c:v>
                </c:pt>
                <c:pt idx="41">
                  <c:v>44260</c:v>
                </c:pt>
                <c:pt idx="42">
                  <c:v>44263</c:v>
                </c:pt>
                <c:pt idx="43">
                  <c:v>44264</c:v>
                </c:pt>
                <c:pt idx="44">
                  <c:v>44265</c:v>
                </c:pt>
                <c:pt idx="45">
                  <c:v>44266</c:v>
                </c:pt>
                <c:pt idx="46">
                  <c:v>44267</c:v>
                </c:pt>
                <c:pt idx="47">
                  <c:v>44270</c:v>
                </c:pt>
                <c:pt idx="48">
                  <c:v>44271</c:v>
                </c:pt>
                <c:pt idx="49">
                  <c:v>44272</c:v>
                </c:pt>
                <c:pt idx="50">
                  <c:v>44273</c:v>
                </c:pt>
                <c:pt idx="51">
                  <c:v>44274</c:v>
                </c:pt>
                <c:pt idx="52">
                  <c:v>44277</c:v>
                </c:pt>
                <c:pt idx="53">
                  <c:v>44278</c:v>
                </c:pt>
                <c:pt idx="54">
                  <c:v>44279</c:v>
                </c:pt>
              </c:numCache>
            </c:numRef>
          </c:cat>
          <c:val>
            <c:numRef>
              <c:f>DoZero!$D$2:$D$56</c:f>
              <c:numCache>
                <c:formatCode>"R$"\ #,##0.00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114.55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09-4D3D-93C2-79A700B4E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089935"/>
        <c:axId val="1460095215"/>
      </c:lineChart>
      <c:dateAx>
        <c:axId val="146008993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0095215"/>
        <c:crosses val="autoZero"/>
        <c:auto val="1"/>
        <c:lblOffset val="100"/>
        <c:baseTimeUnit val="days"/>
      </c:dateAx>
      <c:valAx>
        <c:axId val="146009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0089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320040</xdr:colOff>
      <xdr:row>3</xdr:row>
      <xdr:rowOff>121920</xdr:rowOff>
    </xdr:from>
    <xdr:to>
      <xdr:col>25</xdr:col>
      <xdr:colOff>60960</xdr:colOff>
      <xdr:row>26</xdr:row>
      <xdr:rowOff>129540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97361D-21E8-41CE-96B5-2226001A85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0.83333</cdr:x>
      <cdr:y>0.03556</cdr:y>
    </cdr:from>
    <cdr:to>
      <cdr:x>0.98841</cdr:x>
      <cdr:y>0.15853</cdr:y>
    </cdr:to>
    <cdr:sp macro="" textlink="Gabarito!$L$2">
      <cdr:nvSpPr>
        <cdr:cNvPr id="2" name="CaixaDeTexto 2">
          <a:extLst xmlns:a="http://schemas.openxmlformats.org/drawingml/2006/main">
            <a:ext uri="{FF2B5EF4-FFF2-40B4-BE49-F238E27FC236}">
              <a16:creationId xmlns:a16="http://schemas.microsoft.com/office/drawing/2014/main" id="{901EA1F2-4B82-4EE6-98E1-4DE34E699853}"/>
            </a:ext>
          </a:extLst>
        </cdr:cNvPr>
        <cdr:cNvSpPr txBox="1"/>
      </cdr:nvSpPr>
      <cdr:spPr>
        <a:xfrm xmlns:a="http://schemas.openxmlformats.org/drawingml/2006/main">
          <a:off x="7124700" y="149845"/>
          <a:ext cx="1325850" cy="51817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0B29F59-133F-429D-92CA-E0EC55B1C259}" type="TxLink">
            <a:rPr lang="en-US" sz="24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-7,04%</a:t>
          </a:fld>
          <a:endParaRPr lang="pt-BR" sz="5400"/>
        </a:p>
      </cdr:txBody>
    </cdr:sp>
  </cdr:relSizeAnchor>
  <cdr:relSizeAnchor xmlns:cdr="http://schemas.openxmlformats.org/drawingml/2006/chartDrawing">
    <cdr:from>
      <cdr:x>0.87583</cdr:x>
      <cdr:y>0.03436</cdr:y>
    </cdr:from>
    <cdr:to>
      <cdr:x>0.92338</cdr:x>
      <cdr:y>0.15732</cdr:y>
    </cdr:to>
    <cdr:sp macro="" textlink="Gabarito!$M$2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64B7D324-60A7-4268-BD37-AE67A58F78A9}"/>
            </a:ext>
          </a:extLst>
        </cdr:cNvPr>
        <cdr:cNvSpPr txBox="1"/>
      </cdr:nvSpPr>
      <cdr:spPr>
        <a:xfrm xmlns:a="http://schemas.openxmlformats.org/drawingml/2006/main">
          <a:off x="10104120" y="144780"/>
          <a:ext cx="548640" cy="51816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855E864F-4AD6-4AAA-92BC-D9787C3910DE}" type="TxLink">
            <a:rPr lang="en-US" sz="24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 </a:t>
          </a:fld>
          <a:endParaRPr lang="pt-BR" sz="24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4</xdr:row>
      <xdr:rowOff>142875</xdr:rowOff>
    </xdr:from>
    <xdr:to>
      <xdr:col>19</xdr:col>
      <xdr:colOff>47625</xdr:colOff>
      <xdr:row>20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9DA77EA-DA41-49DA-8ADA-9681BBE23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0.79565</cdr:x>
      <cdr:y>0.01299</cdr:y>
    </cdr:from>
    <cdr:to>
      <cdr:x>0.97609</cdr:x>
      <cdr:y>0.17208</cdr:y>
    </cdr:to>
    <cdr:sp macro="" textlink="DoZero!$L$2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AD007280-1E02-1BE7-6E13-D480C6100816}"/>
            </a:ext>
          </a:extLst>
        </cdr:cNvPr>
        <cdr:cNvSpPr txBox="1"/>
      </cdr:nvSpPr>
      <cdr:spPr>
        <a:xfrm xmlns:a="http://schemas.openxmlformats.org/drawingml/2006/main">
          <a:off x="6972300" y="38100"/>
          <a:ext cx="1581150" cy="466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fld id="{29467BB8-3B1C-47CC-A9DC-CE8DE9D83927}" type="TxLink">
            <a:rPr lang="en-US" sz="20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8,13%</a:t>
          </a:fld>
          <a:endParaRPr lang="pt-BR" sz="2000" b="1"/>
        </a:p>
      </cdr:txBody>
    </cdr:sp>
  </cdr:relSizeAnchor>
</c:userShap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FA79-08E5-4A11-89F3-621F62BC40AC}">
  <dimension ref="A1:O56"/>
  <sheetViews>
    <sheetView showGridLines="0" topLeftCell="A10" zoomScale="91" zoomScaleNormal="91" workbookViewId="0">
      <selection activeCell="B4" sqref="B4"/>
    </sheetView>
  </sheetViews>
  <sheetFormatPr defaultRowHeight="15" x14ac:dyDescent="0.25"/>
  <cols>
    <col min="1" max="1" width="11.42578125" style="1" customWidth="1"/>
    <col min="2" max="2" width="12" style="1" customWidth="1"/>
    <col min="3" max="6" width="12" style="1" hidden="1" customWidth="1"/>
    <col min="8" max="8" width="13.85546875" customWidth="1"/>
    <col min="9" max="9" width="2" customWidth="1"/>
    <col min="10" max="10" width="13.85546875" customWidth="1"/>
    <col min="11" max="11" width="2" customWidth="1"/>
    <col min="12" max="12" width="13.85546875" customWidth="1"/>
    <col min="15" max="15" width="10.5703125" bestFit="1" customWidth="1"/>
    <col min="17" max="17" width="10.5703125" bestFit="1" customWidth="1"/>
  </cols>
  <sheetData>
    <row r="1" spans="1:15" x14ac:dyDescent="0.25">
      <c r="A1" s="10" t="s">
        <v>0</v>
      </c>
      <c r="B1" s="11" t="s">
        <v>1</v>
      </c>
      <c r="C1" s="1" t="s">
        <v>4</v>
      </c>
      <c r="D1" s="1" t="s">
        <v>5</v>
      </c>
      <c r="E1" s="1" t="s">
        <v>6</v>
      </c>
      <c r="F1" s="1" t="s">
        <v>7</v>
      </c>
      <c r="H1" s="5" t="s">
        <v>2</v>
      </c>
      <c r="I1" s="5"/>
      <c r="J1" s="5" t="s">
        <v>3</v>
      </c>
      <c r="K1" s="5"/>
      <c r="L1" s="5" t="s">
        <v>8</v>
      </c>
    </row>
    <row r="2" spans="1:15" x14ac:dyDescent="0.25">
      <c r="A2" s="2">
        <v>44200</v>
      </c>
      <c r="B2" s="3">
        <v>114.09</v>
      </c>
      <c r="C2" s="3" t="e">
        <f>IF($H$2=A2,B2,#N/A)</f>
        <v>#N/A</v>
      </c>
      <c r="D2" s="3" t="e">
        <f>IF($J$2=A2,B2,#N/A)</f>
        <v>#N/A</v>
      </c>
      <c r="E2" s="3" t="e">
        <f>IF(AND($J$3&gt;$H$3,A2&gt;=$H$2,A2&lt;=$J$2),B2,#N/A)</f>
        <v>#N/A</v>
      </c>
      <c r="F2" s="3" t="e">
        <f>IF(AND($J$3&lt;$H$3,A2&gt;=$H$2,A2&lt;=$J$2),B2,#N/A)</f>
        <v>#N/A</v>
      </c>
      <c r="H2" s="8">
        <v>44210</v>
      </c>
      <c r="I2" s="5"/>
      <c r="J2" s="8">
        <v>44279</v>
      </c>
      <c r="K2" s="5"/>
      <c r="L2" s="6">
        <f>J3/H3-1</f>
        <v>-7.0357263228850719E-2</v>
      </c>
      <c r="M2" s="9" t="str">
        <f>IF(L2&gt;0,"+","")</f>
        <v/>
      </c>
      <c r="O2" s="4"/>
    </row>
    <row r="3" spans="1:15" x14ac:dyDescent="0.25">
      <c r="A3" s="2">
        <v>44201</v>
      </c>
      <c r="B3" s="3">
        <v>114.69</v>
      </c>
      <c r="C3" s="3" t="e">
        <f t="shared" ref="C3:C56" si="0">IF($H$2=A3,B3,#N/A)</f>
        <v>#N/A</v>
      </c>
      <c r="D3" s="3" t="e">
        <f t="shared" ref="D3:D56" si="1">IF($J$2=A3,B3,#N/A)</f>
        <v>#N/A</v>
      </c>
      <c r="E3" s="3" t="e">
        <f t="shared" ref="E3:E56" si="2">IF(AND($J$3&gt;$H$3,A3&gt;=$H$2,A3&lt;=$J$2),B3,#N/A)</f>
        <v>#N/A</v>
      </c>
      <c r="F3" s="3" t="e">
        <f t="shared" ref="F3:F56" si="3">IF(AND($J$3&lt;$H$3,A3&gt;=$H$2,A3&lt;=$J$2),B3,#N/A)</f>
        <v>#N/A</v>
      </c>
      <c r="H3" s="7">
        <f>VLOOKUP(H2,A:B,2,0)</f>
        <v>118.68</v>
      </c>
      <c r="I3" s="5"/>
      <c r="J3" s="7">
        <f>VLOOKUP(J2,A:B,2,0)</f>
        <v>110.33</v>
      </c>
      <c r="K3" s="5"/>
      <c r="L3" s="7">
        <f>H3-J3</f>
        <v>8.3500000000000085</v>
      </c>
    </row>
    <row r="4" spans="1:15" x14ac:dyDescent="0.25">
      <c r="A4" s="2">
        <v>44202</v>
      </c>
      <c r="B4" s="3">
        <v>114.55</v>
      </c>
      <c r="C4" s="3" t="e">
        <f t="shared" si="0"/>
        <v>#N/A</v>
      </c>
      <c r="D4" s="3" t="e">
        <f t="shared" si="1"/>
        <v>#N/A</v>
      </c>
      <c r="E4" s="3" t="e">
        <f t="shared" si="2"/>
        <v>#N/A</v>
      </c>
      <c r="F4" s="3" t="e">
        <f t="shared" si="3"/>
        <v>#N/A</v>
      </c>
    </row>
    <row r="5" spans="1:15" x14ac:dyDescent="0.25">
      <c r="A5" s="2">
        <v>44203</v>
      </c>
      <c r="B5" s="3">
        <v>118.37</v>
      </c>
      <c r="C5" s="3" t="e">
        <f t="shared" si="0"/>
        <v>#N/A</v>
      </c>
      <c r="D5" s="3" t="e">
        <f t="shared" si="1"/>
        <v>#N/A</v>
      </c>
      <c r="E5" s="3" t="e">
        <f t="shared" si="2"/>
        <v>#N/A</v>
      </c>
      <c r="F5" s="3" t="e">
        <f t="shared" si="3"/>
        <v>#N/A</v>
      </c>
    </row>
    <row r="6" spans="1:15" x14ac:dyDescent="0.25">
      <c r="A6" s="2">
        <v>44204</v>
      </c>
      <c r="B6" s="3">
        <v>120.4</v>
      </c>
      <c r="C6" s="3" t="e">
        <f t="shared" si="0"/>
        <v>#N/A</v>
      </c>
      <c r="D6" s="3" t="e">
        <f t="shared" si="1"/>
        <v>#N/A</v>
      </c>
      <c r="E6" s="3" t="e">
        <f t="shared" si="2"/>
        <v>#N/A</v>
      </c>
      <c r="F6" s="3" t="e">
        <f t="shared" si="3"/>
        <v>#N/A</v>
      </c>
    </row>
    <row r="7" spans="1:15" x14ac:dyDescent="0.25">
      <c r="A7" s="2">
        <v>44207</v>
      </c>
      <c r="B7" s="3">
        <v>118.62</v>
      </c>
      <c r="C7" s="3" t="e">
        <f t="shared" si="0"/>
        <v>#N/A</v>
      </c>
      <c r="D7" s="3" t="e">
        <f t="shared" si="1"/>
        <v>#N/A</v>
      </c>
      <c r="E7" s="3" t="e">
        <f t="shared" si="2"/>
        <v>#N/A</v>
      </c>
      <c r="F7" s="3" t="e">
        <f t="shared" si="3"/>
        <v>#N/A</v>
      </c>
    </row>
    <row r="8" spans="1:15" x14ac:dyDescent="0.25">
      <c r="A8" s="2">
        <v>44208</v>
      </c>
      <c r="B8" s="3">
        <v>119.45</v>
      </c>
      <c r="C8" s="3" t="e">
        <f t="shared" si="0"/>
        <v>#N/A</v>
      </c>
      <c r="D8" s="3" t="e">
        <f t="shared" si="1"/>
        <v>#N/A</v>
      </c>
      <c r="E8" s="3" t="e">
        <f t="shared" si="2"/>
        <v>#N/A</v>
      </c>
      <c r="F8" s="3" t="e">
        <f t="shared" si="3"/>
        <v>#N/A</v>
      </c>
    </row>
    <row r="9" spans="1:15" x14ac:dyDescent="0.25">
      <c r="A9" s="2">
        <v>44209</v>
      </c>
      <c r="B9" s="3">
        <v>117.36</v>
      </c>
      <c r="C9" s="3" t="e">
        <f t="shared" si="0"/>
        <v>#N/A</v>
      </c>
      <c r="D9" s="3" t="e">
        <f t="shared" si="1"/>
        <v>#N/A</v>
      </c>
      <c r="E9" s="3" t="e">
        <f t="shared" si="2"/>
        <v>#N/A</v>
      </c>
      <c r="F9" s="3" t="e">
        <f t="shared" si="3"/>
        <v>#N/A</v>
      </c>
    </row>
    <row r="10" spans="1:15" x14ac:dyDescent="0.25">
      <c r="A10" s="2">
        <v>44210</v>
      </c>
      <c r="B10" s="3">
        <v>118.68</v>
      </c>
      <c r="C10" s="3">
        <f t="shared" si="0"/>
        <v>118.68</v>
      </c>
      <c r="D10" s="3" t="e">
        <f t="shared" si="1"/>
        <v>#N/A</v>
      </c>
      <c r="E10" s="3" t="e">
        <f t="shared" si="2"/>
        <v>#N/A</v>
      </c>
      <c r="F10" s="3">
        <f t="shared" si="3"/>
        <v>118.68</v>
      </c>
    </row>
    <row r="11" spans="1:15" x14ac:dyDescent="0.25">
      <c r="A11" s="2">
        <v>44211</v>
      </c>
      <c r="B11" s="3">
        <v>115.78</v>
      </c>
      <c r="C11" s="3" t="e">
        <f t="shared" si="0"/>
        <v>#N/A</v>
      </c>
      <c r="D11" s="3" t="e">
        <f t="shared" si="1"/>
        <v>#N/A</v>
      </c>
      <c r="E11" s="3" t="e">
        <f t="shared" si="2"/>
        <v>#N/A</v>
      </c>
      <c r="F11" s="3">
        <f t="shared" si="3"/>
        <v>115.78</v>
      </c>
    </row>
    <row r="12" spans="1:15" x14ac:dyDescent="0.25">
      <c r="A12" s="2">
        <v>44214</v>
      </c>
      <c r="B12" s="3">
        <v>116.54</v>
      </c>
      <c r="C12" s="3" t="e">
        <f t="shared" si="0"/>
        <v>#N/A</v>
      </c>
      <c r="D12" s="3" t="e">
        <f t="shared" si="1"/>
        <v>#N/A</v>
      </c>
      <c r="E12" s="3" t="e">
        <f t="shared" si="2"/>
        <v>#N/A</v>
      </c>
      <c r="F12" s="3">
        <f t="shared" si="3"/>
        <v>116.54</v>
      </c>
    </row>
    <row r="13" spans="1:15" x14ac:dyDescent="0.25">
      <c r="A13" s="2">
        <v>44215</v>
      </c>
      <c r="B13" s="3">
        <v>116</v>
      </c>
      <c r="C13" s="3" t="e">
        <f t="shared" si="0"/>
        <v>#N/A</v>
      </c>
      <c r="D13" s="3" t="e">
        <f t="shared" si="1"/>
        <v>#N/A</v>
      </c>
      <c r="E13" s="3" t="e">
        <f t="shared" si="2"/>
        <v>#N/A</v>
      </c>
      <c r="F13" s="3">
        <f t="shared" si="3"/>
        <v>116</v>
      </c>
    </row>
    <row r="14" spans="1:15" x14ac:dyDescent="0.25">
      <c r="A14" s="2">
        <v>44216</v>
      </c>
      <c r="B14" s="3">
        <v>115.24</v>
      </c>
      <c r="C14" s="3" t="e">
        <f t="shared" si="0"/>
        <v>#N/A</v>
      </c>
      <c r="D14" s="3" t="e">
        <f t="shared" si="1"/>
        <v>#N/A</v>
      </c>
      <c r="E14" s="3" t="e">
        <f t="shared" si="2"/>
        <v>#N/A</v>
      </c>
      <c r="F14" s="3">
        <f t="shared" si="3"/>
        <v>115.24</v>
      </c>
    </row>
    <row r="15" spans="1:15" x14ac:dyDescent="0.25">
      <c r="A15" s="2">
        <v>44217</v>
      </c>
      <c r="B15" s="3">
        <v>113.81</v>
      </c>
      <c r="C15" s="3" t="e">
        <f t="shared" si="0"/>
        <v>#N/A</v>
      </c>
      <c r="D15" s="3" t="e">
        <f t="shared" si="1"/>
        <v>#N/A</v>
      </c>
      <c r="E15" s="3" t="e">
        <f>IF(AND($J$3&gt;$H$3,A15&gt;=$H$2,A15&lt;=$J$2),B15,#N/A)</f>
        <v>#N/A</v>
      </c>
      <c r="F15" s="3">
        <f t="shared" si="3"/>
        <v>113.81</v>
      </c>
    </row>
    <row r="16" spans="1:15" x14ac:dyDescent="0.25">
      <c r="A16" s="2">
        <v>44218</v>
      </c>
      <c r="B16" s="3">
        <v>113.18</v>
      </c>
      <c r="C16" s="3" t="e">
        <f t="shared" si="0"/>
        <v>#N/A</v>
      </c>
      <c r="D16" s="3" t="e">
        <f t="shared" si="1"/>
        <v>#N/A</v>
      </c>
      <c r="E16" s="3" t="e">
        <f t="shared" si="2"/>
        <v>#N/A</v>
      </c>
      <c r="F16" s="3">
        <f t="shared" si="3"/>
        <v>113.18</v>
      </c>
    </row>
    <row r="17" spans="1:6" x14ac:dyDescent="0.25">
      <c r="A17" s="2">
        <v>44222</v>
      </c>
      <c r="B17" s="3">
        <v>112.08</v>
      </c>
      <c r="C17" s="3" t="e">
        <f t="shared" si="0"/>
        <v>#N/A</v>
      </c>
      <c r="D17" s="3" t="e">
        <f t="shared" si="1"/>
        <v>#N/A</v>
      </c>
      <c r="E17" s="3" t="e">
        <f t="shared" si="2"/>
        <v>#N/A</v>
      </c>
      <c r="F17" s="3">
        <f t="shared" si="3"/>
        <v>112.08</v>
      </c>
    </row>
    <row r="18" spans="1:6" x14ac:dyDescent="0.25">
      <c r="A18" s="2">
        <v>44223</v>
      </c>
      <c r="B18" s="3">
        <v>110.96</v>
      </c>
      <c r="C18" s="3" t="e">
        <f t="shared" si="0"/>
        <v>#N/A</v>
      </c>
      <c r="D18" s="3" t="e">
        <f t="shared" si="1"/>
        <v>#N/A</v>
      </c>
      <c r="E18" s="3" t="e">
        <f t="shared" si="2"/>
        <v>#N/A</v>
      </c>
      <c r="F18" s="3">
        <f t="shared" si="3"/>
        <v>110.96</v>
      </c>
    </row>
    <row r="19" spans="1:6" x14ac:dyDescent="0.25">
      <c r="A19" s="2">
        <v>44224</v>
      </c>
      <c r="B19" s="3">
        <v>114.51</v>
      </c>
      <c r="C19" s="3" t="e">
        <f t="shared" si="0"/>
        <v>#N/A</v>
      </c>
      <c r="D19" s="3" t="e">
        <f t="shared" si="1"/>
        <v>#N/A</v>
      </c>
      <c r="E19" s="3" t="e">
        <f t="shared" si="2"/>
        <v>#N/A</v>
      </c>
      <c r="F19" s="3">
        <f t="shared" si="3"/>
        <v>114.51</v>
      </c>
    </row>
    <row r="20" spans="1:6" x14ac:dyDescent="0.25">
      <c r="A20" s="2">
        <v>44225</v>
      </c>
      <c r="B20" s="3">
        <v>110.56</v>
      </c>
      <c r="C20" s="3" t="e">
        <f t="shared" si="0"/>
        <v>#N/A</v>
      </c>
      <c r="D20" s="3" t="e">
        <f t="shared" si="1"/>
        <v>#N/A</v>
      </c>
      <c r="E20" s="3" t="e">
        <f t="shared" si="2"/>
        <v>#N/A</v>
      </c>
      <c r="F20" s="3">
        <f t="shared" si="3"/>
        <v>110.56</v>
      </c>
    </row>
    <row r="21" spans="1:6" x14ac:dyDescent="0.25">
      <c r="A21" s="2">
        <v>44228</v>
      </c>
      <c r="B21" s="3">
        <v>113.06</v>
      </c>
      <c r="C21" s="3" t="e">
        <f t="shared" si="0"/>
        <v>#N/A</v>
      </c>
      <c r="D21" s="3" t="e">
        <f t="shared" si="1"/>
        <v>#N/A</v>
      </c>
      <c r="E21" s="3" t="e">
        <f t="shared" si="2"/>
        <v>#N/A</v>
      </c>
      <c r="F21" s="3">
        <f t="shared" si="3"/>
        <v>113.06</v>
      </c>
    </row>
    <row r="22" spans="1:6" x14ac:dyDescent="0.25">
      <c r="A22" s="2">
        <v>44229</v>
      </c>
      <c r="B22" s="3">
        <v>113.85</v>
      </c>
      <c r="C22" s="3" t="e">
        <f t="shared" si="0"/>
        <v>#N/A</v>
      </c>
      <c r="D22" s="3" t="e">
        <f t="shared" si="1"/>
        <v>#N/A</v>
      </c>
      <c r="E22" s="3" t="e">
        <f t="shared" si="2"/>
        <v>#N/A</v>
      </c>
      <c r="F22" s="3">
        <f t="shared" si="3"/>
        <v>113.85</v>
      </c>
    </row>
    <row r="23" spans="1:6" x14ac:dyDescent="0.25">
      <c r="A23" s="2">
        <v>44230</v>
      </c>
      <c r="B23" s="3">
        <v>115.25</v>
      </c>
      <c r="C23" s="3" t="e">
        <f t="shared" si="0"/>
        <v>#N/A</v>
      </c>
      <c r="D23" s="3" t="e">
        <f t="shared" si="1"/>
        <v>#N/A</v>
      </c>
      <c r="E23" s="3" t="e">
        <f t="shared" si="2"/>
        <v>#N/A</v>
      </c>
      <c r="F23" s="3">
        <f t="shared" si="3"/>
        <v>115.25</v>
      </c>
    </row>
    <row r="24" spans="1:6" x14ac:dyDescent="0.25">
      <c r="A24" s="2">
        <v>44231</v>
      </c>
      <c r="B24" s="3">
        <v>114.62</v>
      </c>
      <c r="C24" s="3" t="e">
        <f t="shared" si="0"/>
        <v>#N/A</v>
      </c>
      <c r="D24" s="3" t="e">
        <f t="shared" si="1"/>
        <v>#N/A</v>
      </c>
      <c r="E24" s="3" t="e">
        <f t="shared" si="2"/>
        <v>#N/A</v>
      </c>
      <c r="F24" s="3">
        <f t="shared" si="3"/>
        <v>114.62</v>
      </c>
    </row>
    <row r="25" spans="1:6" x14ac:dyDescent="0.25">
      <c r="A25" s="2">
        <v>44232</v>
      </c>
      <c r="B25" s="3">
        <v>115.82</v>
      </c>
      <c r="C25" s="3" t="e">
        <f t="shared" si="0"/>
        <v>#N/A</v>
      </c>
      <c r="D25" s="3" t="e">
        <f t="shared" si="1"/>
        <v>#N/A</v>
      </c>
      <c r="E25" s="3" t="e">
        <f t="shared" si="2"/>
        <v>#N/A</v>
      </c>
      <c r="F25" s="3">
        <f t="shared" si="3"/>
        <v>115.82</v>
      </c>
    </row>
    <row r="26" spans="1:6" x14ac:dyDescent="0.25">
      <c r="A26" s="2">
        <v>44235</v>
      </c>
      <c r="B26" s="3">
        <v>115.18</v>
      </c>
      <c r="C26" s="3" t="e">
        <f t="shared" si="0"/>
        <v>#N/A</v>
      </c>
      <c r="D26" s="3" t="e">
        <f t="shared" si="1"/>
        <v>#N/A</v>
      </c>
      <c r="E26" s="3" t="e">
        <f t="shared" si="2"/>
        <v>#N/A</v>
      </c>
      <c r="F26" s="3">
        <f t="shared" si="3"/>
        <v>115.18</v>
      </c>
    </row>
    <row r="27" spans="1:6" x14ac:dyDescent="0.25">
      <c r="A27" s="2">
        <v>44236</v>
      </c>
      <c r="B27" s="3">
        <v>114.91</v>
      </c>
      <c r="C27" s="3" t="e">
        <f t="shared" si="0"/>
        <v>#N/A</v>
      </c>
      <c r="D27" s="3" t="e">
        <f t="shared" si="1"/>
        <v>#N/A</v>
      </c>
      <c r="E27" s="3" t="e">
        <f t="shared" si="2"/>
        <v>#N/A</v>
      </c>
      <c r="F27" s="3">
        <f t="shared" si="3"/>
        <v>114.91</v>
      </c>
    </row>
    <row r="28" spans="1:6" x14ac:dyDescent="0.25">
      <c r="A28" s="2">
        <v>44237</v>
      </c>
      <c r="B28" s="3">
        <v>113.92</v>
      </c>
      <c r="C28" s="3" t="e">
        <f t="shared" si="0"/>
        <v>#N/A</v>
      </c>
      <c r="D28" s="3" t="e">
        <f t="shared" si="1"/>
        <v>#N/A</v>
      </c>
      <c r="E28" s="3" t="e">
        <f t="shared" si="2"/>
        <v>#N/A</v>
      </c>
      <c r="F28" s="3">
        <f t="shared" si="3"/>
        <v>113.92</v>
      </c>
    </row>
    <row r="29" spans="1:6" x14ac:dyDescent="0.25">
      <c r="A29" s="2">
        <v>44238</v>
      </c>
      <c r="B29" s="3">
        <v>114.9</v>
      </c>
      <c r="C29" s="3" t="e">
        <f t="shared" si="0"/>
        <v>#N/A</v>
      </c>
      <c r="D29" s="3" t="e">
        <f t="shared" si="1"/>
        <v>#N/A</v>
      </c>
      <c r="E29" s="3" t="e">
        <f t="shared" si="2"/>
        <v>#N/A</v>
      </c>
      <c r="F29" s="3">
        <f t="shared" si="3"/>
        <v>114.9</v>
      </c>
    </row>
    <row r="30" spans="1:6" x14ac:dyDescent="0.25">
      <c r="A30" s="2">
        <v>44239</v>
      </c>
      <c r="B30" s="3">
        <v>115.05</v>
      </c>
      <c r="C30" s="3" t="e">
        <f t="shared" si="0"/>
        <v>#N/A</v>
      </c>
      <c r="D30" s="3" t="e">
        <f t="shared" si="1"/>
        <v>#N/A</v>
      </c>
      <c r="E30" s="3" t="e">
        <f t="shared" si="2"/>
        <v>#N/A</v>
      </c>
      <c r="F30" s="3">
        <f t="shared" si="3"/>
        <v>115.05</v>
      </c>
    </row>
    <row r="31" spans="1:6" x14ac:dyDescent="0.25">
      <c r="A31" s="2">
        <v>44244</v>
      </c>
      <c r="B31" s="3">
        <v>115.86</v>
      </c>
      <c r="C31" s="3" t="e">
        <f t="shared" si="0"/>
        <v>#N/A</v>
      </c>
      <c r="D31" s="3" t="e">
        <f t="shared" si="1"/>
        <v>#N/A</v>
      </c>
      <c r="E31" s="3" t="e">
        <f t="shared" si="2"/>
        <v>#N/A</v>
      </c>
      <c r="F31" s="3">
        <f t="shared" si="3"/>
        <v>115.86</v>
      </c>
    </row>
    <row r="32" spans="1:6" x14ac:dyDescent="0.25">
      <c r="A32" s="2">
        <v>44245</v>
      </c>
      <c r="B32" s="3">
        <v>114.61</v>
      </c>
      <c r="C32" s="3" t="e">
        <f t="shared" si="0"/>
        <v>#N/A</v>
      </c>
      <c r="D32" s="3" t="e">
        <f t="shared" si="1"/>
        <v>#N/A</v>
      </c>
      <c r="E32" s="3" t="e">
        <f t="shared" si="2"/>
        <v>#N/A</v>
      </c>
      <c r="F32" s="3">
        <f t="shared" si="3"/>
        <v>114.61</v>
      </c>
    </row>
    <row r="33" spans="1:6" x14ac:dyDescent="0.25">
      <c r="A33" s="2">
        <v>44246</v>
      </c>
      <c r="B33" s="3">
        <v>113.82</v>
      </c>
      <c r="C33" s="3" t="e">
        <f t="shared" si="0"/>
        <v>#N/A</v>
      </c>
      <c r="D33" s="3" t="e">
        <f t="shared" si="1"/>
        <v>#N/A</v>
      </c>
      <c r="E33" s="3" t="e">
        <f t="shared" si="2"/>
        <v>#N/A</v>
      </c>
      <c r="F33" s="3">
        <f t="shared" si="3"/>
        <v>113.82</v>
      </c>
    </row>
    <row r="34" spans="1:6" x14ac:dyDescent="0.25">
      <c r="A34" s="2">
        <v>44249</v>
      </c>
      <c r="B34" s="3">
        <v>108.25</v>
      </c>
      <c r="C34" s="3" t="e">
        <f t="shared" si="0"/>
        <v>#N/A</v>
      </c>
      <c r="D34" s="3" t="e">
        <f t="shared" si="1"/>
        <v>#N/A</v>
      </c>
      <c r="E34" s="3" t="e">
        <f t="shared" si="2"/>
        <v>#N/A</v>
      </c>
      <c r="F34" s="3">
        <f t="shared" si="3"/>
        <v>108.25</v>
      </c>
    </row>
    <row r="35" spans="1:6" x14ac:dyDescent="0.25">
      <c r="A35" s="2">
        <v>44250</v>
      </c>
      <c r="B35" s="3">
        <v>110.76</v>
      </c>
      <c r="C35" s="3" t="e">
        <f t="shared" si="0"/>
        <v>#N/A</v>
      </c>
      <c r="D35" s="3" t="e">
        <f t="shared" si="1"/>
        <v>#N/A</v>
      </c>
      <c r="E35" s="3" t="e">
        <f t="shared" si="2"/>
        <v>#N/A</v>
      </c>
      <c r="F35" s="3">
        <f t="shared" si="3"/>
        <v>110.76</v>
      </c>
    </row>
    <row r="36" spans="1:6" x14ac:dyDescent="0.25">
      <c r="A36" s="2">
        <v>44251</v>
      </c>
      <c r="B36" s="3">
        <v>111.46</v>
      </c>
      <c r="C36" s="3" t="e">
        <f t="shared" si="0"/>
        <v>#N/A</v>
      </c>
      <c r="D36" s="3" t="e">
        <f t="shared" si="1"/>
        <v>#N/A</v>
      </c>
      <c r="E36" s="3" t="e">
        <f t="shared" si="2"/>
        <v>#N/A</v>
      </c>
      <c r="F36" s="3">
        <f t="shared" si="3"/>
        <v>111.46</v>
      </c>
    </row>
    <row r="37" spans="1:6" x14ac:dyDescent="0.25">
      <c r="A37" s="2">
        <v>44252</v>
      </c>
      <c r="B37" s="3">
        <v>107.53</v>
      </c>
      <c r="C37" s="3" t="e">
        <f t="shared" si="0"/>
        <v>#N/A</v>
      </c>
      <c r="D37" s="3" t="e">
        <f t="shared" si="1"/>
        <v>#N/A</v>
      </c>
      <c r="E37" s="3" t="e">
        <f t="shared" si="2"/>
        <v>#N/A</v>
      </c>
      <c r="F37" s="3">
        <f t="shared" si="3"/>
        <v>107.53</v>
      </c>
    </row>
    <row r="38" spans="1:6" x14ac:dyDescent="0.25">
      <c r="A38" s="2">
        <v>44253</v>
      </c>
      <c r="B38" s="3">
        <v>105.59</v>
      </c>
      <c r="C38" s="3" t="e">
        <f t="shared" si="0"/>
        <v>#N/A</v>
      </c>
      <c r="D38" s="3" t="e">
        <f t="shared" si="1"/>
        <v>#N/A</v>
      </c>
      <c r="E38" s="3" t="e">
        <f t="shared" si="2"/>
        <v>#N/A</v>
      </c>
      <c r="F38" s="3">
        <f t="shared" si="3"/>
        <v>105.59</v>
      </c>
    </row>
    <row r="39" spans="1:6" x14ac:dyDescent="0.25">
      <c r="A39" s="2">
        <v>44256</v>
      </c>
      <c r="B39" s="3">
        <v>105.94</v>
      </c>
      <c r="C39" s="3" t="e">
        <f t="shared" si="0"/>
        <v>#N/A</v>
      </c>
      <c r="D39" s="3" t="e">
        <f t="shared" si="1"/>
        <v>#N/A</v>
      </c>
      <c r="E39" s="3" t="e">
        <f t="shared" si="2"/>
        <v>#N/A</v>
      </c>
      <c r="F39" s="3">
        <f t="shared" si="3"/>
        <v>105.94</v>
      </c>
    </row>
    <row r="40" spans="1:6" x14ac:dyDescent="0.25">
      <c r="A40" s="2">
        <v>44257</v>
      </c>
      <c r="B40" s="3">
        <v>107.5</v>
      </c>
      <c r="C40" s="3" t="e">
        <f t="shared" si="0"/>
        <v>#N/A</v>
      </c>
      <c r="D40" s="3" t="e">
        <f t="shared" si="1"/>
        <v>#N/A</v>
      </c>
      <c r="E40" s="3" t="e">
        <f t="shared" si="2"/>
        <v>#N/A</v>
      </c>
      <c r="F40" s="3">
        <f t="shared" si="3"/>
        <v>107.5</v>
      </c>
    </row>
    <row r="41" spans="1:6" x14ac:dyDescent="0.25">
      <c r="A41" s="2">
        <v>44258</v>
      </c>
      <c r="B41" s="3">
        <v>107.16</v>
      </c>
      <c r="C41" s="3" t="e">
        <f t="shared" si="0"/>
        <v>#N/A</v>
      </c>
      <c r="D41" s="3" t="e">
        <f t="shared" si="1"/>
        <v>#N/A</v>
      </c>
      <c r="E41" s="3" t="e">
        <f t="shared" si="2"/>
        <v>#N/A</v>
      </c>
      <c r="F41" s="3">
        <f t="shared" si="3"/>
        <v>107.16</v>
      </c>
    </row>
    <row r="42" spans="1:6" x14ac:dyDescent="0.25">
      <c r="A42" s="2">
        <v>44259</v>
      </c>
      <c r="B42" s="3">
        <v>108.57</v>
      </c>
      <c r="C42" s="3" t="e">
        <f t="shared" si="0"/>
        <v>#N/A</v>
      </c>
      <c r="D42" s="3" t="e">
        <f t="shared" si="1"/>
        <v>#N/A</v>
      </c>
      <c r="E42" s="3" t="e">
        <f t="shared" si="2"/>
        <v>#N/A</v>
      </c>
      <c r="F42" s="3">
        <f t="shared" si="3"/>
        <v>108.57</v>
      </c>
    </row>
    <row r="43" spans="1:6" x14ac:dyDescent="0.25">
      <c r="A43" s="2">
        <v>44260</v>
      </c>
      <c r="B43" s="3">
        <v>110.93</v>
      </c>
      <c r="C43" s="3" t="e">
        <f t="shared" si="0"/>
        <v>#N/A</v>
      </c>
      <c r="D43" s="3" t="e">
        <f t="shared" si="1"/>
        <v>#N/A</v>
      </c>
      <c r="E43" s="3" t="e">
        <f t="shared" si="2"/>
        <v>#N/A</v>
      </c>
      <c r="F43" s="3">
        <f t="shared" si="3"/>
        <v>110.93</v>
      </c>
    </row>
    <row r="44" spans="1:6" x14ac:dyDescent="0.25">
      <c r="A44" s="2">
        <v>44263</v>
      </c>
      <c r="B44" s="3">
        <v>105.35</v>
      </c>
      <c r="C44" s="3" t="e">
        <f t="shared" si="0"/>
        <v>#N/A</v>
      </c>
      <c r="D44" s="3" t="e">
        <f t="shared" si="1"/>
        <v>#N/A</v>
      </c>
      <c r="E44" s="3" t="e">
        <f t="shared" si="2"/>
        <v>#N/A</v>
      </c>
      <c r="F44" s="3">
        <f t="shared" si="3"/>
        <v>105.35</v>
      </c>
    </row>
    <row r="45" spans="1:6" x14ac:dyDescent="0.25">
      <c r="A45" s="2">
        <v>44264</v>
      </c>
      <c r="B45" s="3">
        <v>107.19</v>
      </c>
      <c r="C45" s="3" t="e">
        <f t="shared" si="0"/>
        <v>#N/A</v>
      </c>
      <c r="D45" s="3" t="e">
        <f t="shared" si="1"/>
        <v>#N/A</v>
      </c>
      <c r="E45" s="3" t="e">
        <f t="shared" si="2"/>
        <v>#N/A</v>
      </c>
      <c r="F45" s="3">
        <f t="shared" si="3"/>
        <v>107.19</v>
      </c>
    </row>
    <row r="46" spans="1:6" x14ac:dyDescent="0.25">
      <c r="A46" s="2">
        <v>44265</v>
      </c>
      <c r="B46" s="3">
        <v>108.63</v>
      </c>
      <c r="C46" s="3" t="e">
        <f t="shared" si="0"/>
        <v>#N/A</v>
      </c>
      <c r="D46" s="3" t="e">
        <f t="shared" si="1"/>
        <v>#N/A</v>
      </c>
      <c r="E46" s="3" t="e">
        <f t="shared" si="2"/>
        <v>#N/A</v>
      </c>
      <c r="F46" s="3">
        <f t="shared" si="3"/>
        <v>108.63</v>
      </c>
    </row>
    <row r="47" spans="1:6" x14ac:dyDescent="0.25">
      <c r="A47" s="2">
        <v>44266</v>
      </c>
      <c r="B47" s="3">
        <v>110.45</v>
      </c>
      <c r="C47" s="3" t="e">
        <f t="shared" si="0"/>
        <v>#N/A</v>
      </c>
      <c r="D47" s="3" t="e">
        <f t="shared" si="1"/>
        <v>#N/A</v>
      </c>
      <c r="E47" s="3" t="e">
        <f t="shared" si="2"/>
        <v>#N/A</v>
      </c>
      <c r="F47" s="3">
        <f t="shared" si="3"/>
        <v>110.45</v>
      </c>
    </row>
    <row r="48" spans="1:6" x14ac:dyDescent="0.25">
      <c r="A48" s="2">
        <v>44267</v>
      </c>
      <c r="B48" s="3">
        <v>109.68</v>
      </c>
      <c r="C48" s="3" t="e">
        <f t="shared" si="0"/>
        <v>#N/A</v>
      </c>
      <c r="D48" s="3" t="e">
        <f t="shared" si="1"/>
        <v>#N/A</v>
      </c>
      <c r="E48" s="3" t="e">
        <f t="shared" si="2"/>
        <v>#N/A</v>
      </c>
      <c r="F48" s="3">
        <f t="shared" si="3"/>
        <v>109.68</v>
      </c>
    </row>
    <row r="49" spans="1:6" x14ac:dyDescent="0.25">
      <c r="A49" s="2">
        <v>44270</v>
      </c>
      <c r="B49" s="3">
        <v>110.66</v>
      </c>
      <c r="C49" s="3" t="e">
        <f t="shared" si="0"/>
        <v>#N/A</v>
      </c>
      <c r="D49" s="3" t="e">
        <f t="shared" si="1"/>
        <v>#N/A</v>
      </c>
      <c r="E49" s="3" t="e">
        <f t="shared" si="2"/>
        <v>#N/A</v>
      </c>
      <c r="F49" s="3">
        <f t="shared" si="3"/>
        <v>110.66</v>
      </c>
    </row>
    <row r="50" spans="1:6" x14ac:dyDescent="0.25">
      <c r="A50" s="2">
        <v>44271</v>
      </c>
      <c r="B50" s="3">
        <v>109.69</v>
      </c>
      <c r="C50" s="3" t="e">
        <f t="shared" si="0"/>
        <v>#N/A</v>
      </c>
      <c r="D50" s="3" t="e">
        <f t="shared" si="1"/>
        <v>#N/A</v>
      </c>
      <c r="E50" s="3" t="e">
        <f t="shared" si="2"/>
        <v>#N/A</v>
      </c>
      <c r="F50" s="3">
        <f t="shared" si="3"/>
        <v>109.69</v>
      </c>
    </row>
    <row r="51" spans="1:6" x14ac:dyDescent="0.25">
      <c r="A51" s="2">
        <v>44272</v>
      </c>
      <c r="B51" s="3">
        <v>112.05</v>
      </c>
      <c r="C51" s="3" t="e">
        <f t="shared" si="0"/>
        <v>#N/A</v>
      </c>
      <c r="D51" s="3" t="e">
        <f t="shared" si="1"/>
        <v>#N/A</v>
      </c>
      <c r="E51" s="3" t="e">
        <f t="shared" si="2"/>
        <v>#N/A</v>
      </c>
      <c r="F51" s="3">
        <f t="shared" si="3"/>
        <v>112.05</v>
      </c>
    </row>
    <row r="52" spans="1:6" x14ac:dyDescent="0.25">
      <c r="A52" s="2">
        <v>44273</v>
      </c>
      <c r="B52" s="3">
        <v>110.5</v>
      </c>
      <c r="C52" s="3" t="e">
        <f t="shared" si="0"/>
        <v>#N/A</v>
      </c>
      <c r="D52" s="3" t="e">
        <f t="shared" si="1"/>
        <v>#N/A</v>
      </c>
      <c r="E52" s="3" t="e">
        <f t="shared" si="2"/>
        <v>#N/A</v>
      </c>
      <c r="F52" s="3">
        <f t="shared" si="3"/>
        <v>110.5</v>
      </c>
    </row>
    <row r="53" spans="1:6" x14ac:dyDescent="0.25">
      <c r="A53" s="2">
        <v>44274</v>
      </c>
      <c r="B53" s="3">
        <v>111.7</v>
      </c>
      <c r="C53" s="3" t="e">
        <f t="shared" si="0"/>
        <v>#N/A</v>
      </c>
      <c r="D53" s="3" t="e">
        <f t="shared" si="1"/>
        <v>#N/A</v>
      </c>
      <c r="E53" s="3" t="e">
        <f t="shared" si="2"/>
        <v>#N/A</v>
      </c>
      <c r="F53" s="3">
        <f t="shared" si="3"/>
        <v>111.7</v>
      </c>
    </row>
    <row r="54" spans="1:6" x14ac:dyDescent="0.25">
      <c r="A54" s="2">
        <v>44277</v>
      </c>
      <c r="B54" s="3">
        <v>110.69</v>
      </c>
      <c r="C54" s="3" t="e">
        <f t="shared" si="0"/>
        <v>#N/A</v>
      </c>
      <c r="D54" s="3" t="e">
        <f t="shared" si="1"/>
        <v>#N/A</v>
      </c>
      <c r="E54" s="3" t="e">
        <f t="shared" si="2"/>
        <v>#N/A</v>
      </c>
      <c r="F54" s="3">
        <f t="shared" si="3"/>
        <v>110.69</v>
      </c>
    </row>
    <row r="55" spans="1:6" x14ac:dyDescent="0.25">
      <c r="A55" s="2">
        <v>44278</v>
      </c>
      <c r="B55" s="3">
        <v>109.02</v>
      </c>
      <c r="C55" s="3" t="e">
        <f t="shared" si="0"/>
        <v>#N/A</v>
      </c>
      <c r="D55" s="3" t="e">
        <f t="shared" si="1"/>
        <v>#N/A</v>
      </c>
      <c r="E55" s="3" t="e">
        <f t="shared" si="2"/>
        <v>#N/A</v>
      </c>
      <c r="F55" s="3">
        <f t="shared" si="3"/>
        <v>109.02</v>
      </c>
    </row>
    <row r="56" spans="1:6" x14ac:dyDescent="0.25">
      <c r="A56" s="2">
        <v>44279</v>
      </c>
      <c r="B56" s="3">
        <v>110.33</v>
      </c>
      <c r="C56" s="3" t="e">
        <f t="shared" si="0"/>
        <v>#N/A</v>
      </c>
      <c r="D56" s="3">
        <f t="shared" si="1"/>
        <v>110.33</v>
      </c>
      <c r="E56" s="3" t="e">
        <f t="shared" si="2"/>
        <v>#N/A</v>
      </c>
      <c r="F56" s="3">
        <f t="shared" si="3"/>
        <v>110.33</v>
      </c>
    </row>
  </sheetData>
  <conditionalFormatting sqref="L2">
    <cfRule type="expression" dxfId="3" priority="1">
      <formula>$L$2&lt;0</formula>
    </cfRule>
    <cfRule type="expression" dxfId="2" priority="2">
      <formula>$L$2&gt;0</formula>
    </cfRule>
  </conditionalFormatting>
  <dataValidations count="1">
    <dataValidation type="list" allowBlank="1" showInputMessage="1" showErrorMessage="1" sqref="H2 J2" xr:uid="{A0187C1B-EBC5-415B-A2F7-A2BA5D7D908C}">
      <formula1>$A$2:$A$56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C53B9-EBCE-429D-8CC4-4E1B53EBCAA8}">
  <dimension ref="A1:L56"/>
  <sheetViews>
    <sheetView showGridLines="0" tabSelected="1" topLeftCell="C4" zoomScaleNormal="100" workbookViewId="0">
      <selection activeCell="C2" sqref="C2"/>
    </sheetView>
  </sheetViews>
  <sheetFormatPr defaultRowHeight="15" x14ac:dyDescent="0.25"/>
  <cols>
    <col min="1" max="1" width="11.42578125" style="1" customWidth="1"/>
    <col min="2" max="2" width="12" style="1" customWidth="1"/>
    <col min="3" max="6" width="10.5703125" style="1" customWidth="1"/>
    <col min="7" max="7" width="9.140625" style="1"/>
    <col min="8" max="8" width="16.28515625" style="1" customWidth="1"/>
    <col min="9" max="9" width="2.28515625" style="1" customWidth="1"/>
    <col min="10" max="10" width="16.28515625" style="1" customWidth="1"/>
    <col min="11" max="11" width="2.28515625" style="1" customWidth="1"/>
    <col min="12" max="12" width="13.28515625" style="1" customWidth="1"/>
    <col min="13" max="16384" width="9.140625" style="1"/>
  </cols>
  <sheetData>
    <row r="1" spans="1:12" x14ac:dyDescent="0.25">
      <c r="A1" s="10" t="s">
        <v>0</v>
      </c>
      <c r="B1" s="11" t="s">
        <v>1</v>
      </c>
      <c r="C1" s="1" t="s">
        <v>4</v>
      </c>
      <c r="D1" s="1" t="s">
        <v>5</v>
      </c>
      <c r="E1" s="1" t="s">
        <v>6</v>
      </c>
      <c r="F1" s="1" t="s">
        <v>7</v>
      </c>
      <c r="H1" s="1" t="s">
        <v>9</v>
      </c>
      <c r="J1" s="1" t="s">
        <v>10</v>
      </c>
      <c r="L1" s="1" t="s">
        <v>8</v>
      </c>
    </row>
    <row r="2" spans="1:12" x14ac:dyDescent="0.25">
      <c r="A2" s="2">
        <v>44200</v>
      </c>
      <c r="B2" s="3">
        <v>114.09</v>
      </c>
      <c r="C2" s="3">
        <f>IF($H$2=A2, B2, 0)</f>
        <v>0</v>
      </c>
      <c r="D2" s="3">
        <f>IF($J$2 = A2, B2, 0)</f>
        <v>0</v>
      </c>
      <c r="E2" s="3"/>
      <c r="F2" s="3"/>
      <c r="H2" s="2">
        <v>44256</v>
      </c>
      <c r="J2" s="2">
        <v>44202</v>
      </c>
      <c r="L2" s="12">
        <f>J3 / H3-1</f>
        <v>8.1272418350009534E-2</v>
      </c>
    </row>
    <row r="3" spans="1:12" x14ac:dyDescent="0.25">
      <c r="A3" s="2">
        <v>44201</v>
      </c>
      <c r="B3" s="3">
        <v>114.69</v>
      </c>
      <c r="C3" s="3">
        <f t="shared" ref="C3:C56" si="0">IF($H$2=A3, B3, 0)</f>
        <v>0</v>
      </c>
      <c r="D3" s="3">
        <f t="shared" ref="D3:D56" si="1">IF($J$2 = A3, B3, 0)</f>
        <v>0</v>
      </c>
      <c r="E3" s="3"/>
      <c r="F3" s="3"/>
      <c r="H3" s="3">
        <f>VLOOKUP(H2, A:B, 2, 0)</f>
        <v>105.94</v>
      </c>
      <c r="J3" s="3">
        <f>VLOOKUP(J2, A:B, 2, 0)</f>
        <v>114.55</v>
      </c>
      <c r="L3" s="3">
        <f>J3 - H3</f>
        <v>8.61</v>
      </c>
    </row>
    <row r="4" spans="1:12" x14ac:dyDescent="0.25">
      <c r="A4" s="2">
        <v>44202</v>
      </c>
      <c r="B4" s="3">
        <v>114.55</v>
      </c>
      <c r="C4" s="3">
        <f t="shared" si="0"/>
        <v>0</v>
      </c>
      <c r="D4" s="3">
        <f t="shared" si="1"/>
        <v>114.55</v>
      </c>
      <c r="E4" s="3"/>
      <c r="F4" s="3"/>
    </row>
    <row r="5" spans="1:12" x14ac:dyDescent="0.25">
      <c r="A5" s="2">
        <v>44203</v>
      </c>
      <c r="B5" s="3">
        <v>118.37</v>
      </c>
      <c r="C5" s="3">
        <f t="shared" si="0"/>
        <v>0</v>
      </c>
      <c r="D5" s="3">
        <f t="shared" si="1"/>
        <v>0</v>
      </c>
      <c r="E5" s="3"/>
      <c r="F5" s="3"/>
    </row>
    <row r="6" spans="1:12" x14ac:dyDescent="0.25">
      <c r="A6" s="2">
        <v>44204</v>
      </c>
      <c r="B6" s="3">
        <v>120.4</v>
      </c>
      <c r="C6" s="3">
        <f t="shared" si="0"/>
        <v>0</v>
      </c>
      <c r="D6" s="3">
        <f t="shared" si="1"/>
        <v>0</v>
      </c>
      <c r="E6" s="3"/>
      <c r="F6" s="3"/>
    </row>
    <row r="7" spans="1:12" x14ac:dyDescent="0.25">
      <c r="A7" s="2">
        <v>44207</v>
      </c>
      <c r="B7" s="3">
        <v>118.62</v>
      </c>
      <c r="C7" s="3">
        <f t="shared" si="0"/>
        <v>0</v>
      </c>
      <c r="D7" s="3">
        <f t="shared" si="1"/>
        <v>0</v>
      </c>
      <c r="E7" s="3"/>
      <c r="F7" s="3"/>
    </row>
    <row r="8" spans="1:12" x14ac:dyDescent="0.25">
      <c r="A8" s="2">
        <v>44208</v>
      </c>
      <c r="B8" s="3">
        <v>119.45</v>
      </c>
      <c r="C8" s="3">
        <f t="shared" si="0"/>
        <v>0</v>
      </c>
      <c r="D8" s="3">
        <f t="shared" si="1"/>
        <v>0</v>
      </c>
      <c r="E8" s="3"/>
      <c r="F8" s="3"/>
    </row>
    <row r="9" spans="1:12" x14ac:dyDescent="0.25">
      <c r="A9" s="2">
        <v>44209</v>
      </c>
      <c r="B9" s="3">
        <v>117.36</v>
      </c>
      <c r="C9" s="3">
        <f t="shared" si="0"/>
        <v>0</v>
      </c>
      <c r="D9" s="3">
        <f t="shared" si="1"/>
        <v>0</v>
      </c>
      <c r="E9" s="3"/>
      <c r="F9" s="3"/>
    </row>
    <row r="10" spans="1:12" x14ac:dyDescent="0.25">
      <c r="A10" s="2">
        <v>44210</v>
      </c>
      <c r="B10" s="3">
        <v>118.68</v>
      </c>
      <c r="C10" s="3">
        <f t="shared" si="0"/>
        <v>0</v>
      </c>
      <c r="D10" s="3">
        <f t="shared" si="1"/>
        <v>0</v>
      </c>
      <c r="E10" s="3"/>
      <c r="F10" s="3"/>
    </row>
    <row r="11" spans="1:12" x14ac:dyDescent="0.25">
      <c r="A11" s="2">
        <v>44211</v>
      </c>
      <c r="B11" s="3">
        <v>115.78</v>
      </c>
      <c r="C11" s="3">
        <f t="shared" si="0"/>
        <v>0</v>
      </c>
      <c r="D11" s="3">
        <f t="shared" si="1"/>
        <v>0</v>
      </c>
      <c r="E11" s="3"/>
      <c r="F11" s="3"/>
    </row>
    <row r="12" spans="1:12" x14ac:dyDescent="0.25">
      <c r="A12" s="2">
        <v>44214</v>
      </c>
      <c r="B12" s="3">
        <v>116.54</v>
      </c>
      <c r="C12" s="3">
        <f t="shared" si="0"/>
        <v>0</v>
      </c>
      <c r="D12" s="3">
        <f t="shared" si="1"/>
        <v>0</v>
      </c>
      <c r="E12" s="3"/>
      <c r="F12" s="3"/>
    </row>
    <row r="13" spans="1:12" x14ac:dyDescent="0.25">
      <c r="A13" s="2">
        <v>44215</v>
      </c>
      <c r="B13" s="3">
        <v>116</v>
      </c>
      <c r="C13" s="3">
        <f t="shared" si="0"/>
        <v>0</v>
      </c>
      <c r="D13" s="3">
        <f t="shared" si="1"/>
        <v>0</v>
      </c>
      <c r="E13" s="3"/>
      <c r="F13" s="3"/>
    </row>
    <row r="14" spans="1:12" x14ac:dyDescent="0.25">
      <c r="A14" s="2">
        <v>44216</v>
      </c>
      <c r="B14" s="3">
        <v>115.24</v>
      </c>
      <c r="C14" s="3">
        <f t="shared" si="0"/>
        <v>0</v>
      </c>
      <c r="D14" s="3">
        <f t="shared" si="1"/>
        <v>0</v>
      </c>
      <c r="E14" s="3"/>
      <c r="F14" s="3"/>
    </row>
    <row r="15" spans="1:12" x14ac:dyDescent="0.25">
      <c r="A15" s="2">
        <v>44217</v>
      </c>
      <c r="B15" s="3">
        <v>113.81</v>
      </c>
      <c r="C15" s="3">
        <f t="shared" si="0"/>
        <v>0</v>
      </c>
      <c r="D15" s="3">
        <f t="shared" si="1"/>
        <v>0</v>
      </c>
      <c r="E15" s="3"/>
      <c r="F15" s="3"/>
    </row>
    <row r="16" spans="1:12" x14ac:dyDescent="0.25">
      <c r="A16" s="2">
        <v>44218</v>
      </c>
      <c r="B16" s="3">
        <v>113.18</v>
      </c>
      <c r="C16" s="3">
        <f t="shared" si="0"/>
        <v>0</v>
      </c>
      <c r="D16" s="3">
        <f t="shared" si="1"/>
        <v>0</v>
      </c>
      <c r="E16" s="3"/>
      <c r="F16" s="3"/>
    </row>
    <row r="17" spans="1:6" x14ac:dyDescent="0.25">
      <c r="A17" s="2">
        <v>44222</v>
      </c>
      <c r="B17" s="3">
        <v>112.08</v>
      </c>
      <c r="C17" s="3">
        <f t="shared" si="0"/>
        <v>0</v>
      </c>
      <c r="D17" s="3">
        <f t="shared" si="1"/>
        <v>0</v>
      </c>
      <c r="E17" s="3"/>
      <c r="F17" s="3"/>
    </row>
    <row r="18" spans="1:6" x14ac:dyDescent="0.25">
      <c r="A18" s="2">
        <v>44223</v>
      </c>
      <c r="B18" s="3">
        <v>110.96</v>
      </c>
      <c r="C18" s="3">
        <f t="shared" si="0"/>
        <v>0</v>
      </c>
      <c r="D18" s="3">
        <f t="shared" si="1"/>
        <v>0</v>
      </c>
      <c r="E18" s="3"/>
      <c r="F18" s="3"/>
    </row>
    <row r="19" spans="1:6" x14ac:dyDescent="0.25">
      <c r="A19" s="2">
        <v>44224</v>
      </c>
      <c r="B19" s="3">
        <v>114.51</v>
      </c>
      <c r="C19" s="3">
        <f t="shared" si="0"/>
        <v>0</v>
      </c>
      <c r="D19" s="3">
        <f t="shared" si="1"/>
        <v>0</v>
      </c>
      <c r="E19" s="3"/>
      <c r="F19" s="3"/>
    </row>
    <row r="20" spans="1:6" x14ac:dyDescent="0.25">
      <c r="A20" s="2">
        <v>44225</v>
      </c>
      <c r="B20" s="3">
        <v>110.56</v>
      </c>
      <c r="C20" s="3">
        <f t="shared" si="0"/>
        <v>0</v>
      </c>
      <c r="D20" s="3">
        <f t="shared" si="1"/>
        <v>0</v>
      </c>
      <c r="E20" s="3"/>
      <c r="F20" s="3"/>
    </row>
    <row r="21" spans="1:6" x14ac:dyDescent="0.25">
      <c r="A21" s="2">
        <v>44228</v>
      </c>
      <c r="B21" s="3">
        <v>113.06</v>
      </c>
      <c r="C21" s="3">
        <f t="shared" si="0"/>
        <v>0</v>
      </c>
      <c r="D21" s="3">
        <f t="shared" si="1"/>
        <v>0</v>
      </c>
      <c r="E21" s="3"/>
      <c r="F21" s="3"/>
    </row>
    <row r="22" spans="1:6" x14ac:dyDescent="0.25">
      <c r="A22" s="2">
        <v>44229</v>
      </c>
      <c r="B22" s="3">
        <v>113.85</v>
      </c>
      <c r="C22" s="3">
        <f t="shared" si="0"/>
        <v>0</v>
      </c>
      <c r="D22" s="3">
        <f t="shared" si="1"/>
        <v>0</v>
      </c>
      <c r="E22" s="3"/>
      <c r="F22" s="3"/>
    </row>
    <row r="23" spans="1:6" x14ac:dyDescent="0.25">
      <c r="A23" s="2">
        <v>44230</v>
      </c>
      <c r="B23" s="3">
        <v>115.25</v>
      </c>
      <c r="C23" s="3">
        <f t="shared" si="0"/>
        <v>0</v>
      </c>
      <c r="D23" s="3">
        <f t="shared" si="1"/>
        <v>0</v>
      </c>
      <c r="E23" s="3"/>
      <c r="F23" s="3"/>
    </row>
    <row r="24" spans="1:6" x14ac:dyDescent="0.25">
      <c r="A24" s="2">
        <v>44231</v>
      </c>
      <c r="B24" s="3">
        <v>114.62</v>
      </c>
      <c r="C24" s="3">
        <f t="shared" si="0"/>
        <v>0</v>
      </c>
      <c r="D24" s="3">
        <f t="shared" si="1"/>
        <v>0</v>
      </c>
      <c r="E24" s="3"/>
      <c r="F24" s="3"/>
    </row>
    <row r="25" spans="1:6" x14ac:dyDescent="0.25">
      <c r="A25" s="2">
        <v>44232</v>
      </c>
      <c r="B25" s="3">
        <v>115.82</v>
      </c>
      <c r="C25" s="3">
        <f t="shared" si="0"/>
        <v>0</v>
      </c>
      <c r="D25" s="3">
        <f t="shared" si="1"/>
        <v>0</v>
      </c>
      <c r="E25" s="3"/>
      <c r="F25" s="3"/>
    </row>
    <row r="26" spans="1:6" x14ac:dyDescent="0.25">
      <c r="A26" s="2">
        <v>44235</v>
      </c>
      <c r="B26" s="3">
        <v>115.18</v>
      </c>
      <c r="C26" s="3">
        <f t="shared" si="0"/>
        <v>0</v>
      </c>
      <c r="D26" s="3">
        <f t="shared" si="1"/>
        <v>0</v>
      </c>
      <c r="E26" s="3"/>
      <c r="F26" s="3"/>
    </row>
    <row r="27" spans="1:6" x14ac:dyDescent="0.25">
      <c r="A27" s="2">
        <v>44236</v>
      </c>
      <c r="B27" s="3">
        <v>114.91</v>
      </c>
      <c r="C27" s="3">
        <f t="shared" si="0"/>
        <v>0</v>
      </c>
      <c r="D27" s="3">
        <f t="shared" si="1"/>
        <v>0</v>
      </c>
      <c r="E27" s="3"/>
      <c r="F27" s="3"/>
    </row>
    <row r="28" spans="1:6" x14ac:dyDescent="0.25">
      <c r="A28" s="2">
        <v>44237</v>
      </c>
      <c r="B28" s="3">
        <v>113.92</v>
      </c>
      <c r="C28" s="3">
        <f t="shared" si="0"/>
        <v>0</v>
      </c>
      <c r="D28" s="3">
        <f t="shared" si="1"/>
        <v>0</v>
      </c>
      <c r="E28" s="3"/>
      <c r="F28" s="3"/>
    </row>
    <row r="29" spans="1:6" x14ac:dyDescent="0.25">
      <c r="A29" s="2">
        <v>44238</v>
      </c>
      <c r="B29" s="3">
        <v>114.9</v>
      </c>
      <c r="C29" s="3">
        <f t="shared" si="0"/>
        <v>0</v>
      </c>
      <c r="D29" s="3">
        <f t="shared" si="1"/>
        <v>0</v>
      </c>
      <c r="E29" s="3"/>
      <c r="F29" s="3"/>
    </row>
    <row r="30" spans="1:6" x14ac:dyDescent="0.25">
      <c r="A30" s="2">
        <v>44239</v>
      </c>
      <c r="B30" s="3">
        <v>115.05</v>
      </c>
      <c r="C30" s="3">
        <f t="shared" si="0"/>
        <v>0</v>
      </c>
      <c r="D30" s="3">
        <f t="shared" si="1"/>
        <v>0</v>
      </c>
      <c r="E30" s="3"/>
      <c r="F30" s="3"/>
    </row>
    <row r="31" spans="1:6" x14ac:dyDescent="0.25">
      <c r="A31" s="2">
        <v>44244</v>
      </c>
      <c r="B31" s="3">
        <v>115.86</v>
      </c>
      <c r="C31" s="3">
        <f t="shared" si="0"/>
        <v>0</v>
      </c>
      <c r="D31" s="3">
        <f t="shared" si="1"/>
        <v>0</v>
      </c>
      <c r="E31" s="3"/>
      <c r="F31" s="3"/>
    </row>
    <row r="32" spans="1:6" x14ac:dyDescent="0.25">
      <c r="A32" s="2">
        <v>44245</v>
      </c>
      <c r="B32" s="3">
        <v>114.61</v>
      </c>
      <c r="C32" s="3">
        <f t="shared" si="0"/>
        <v>0</v>
      </c>
      <c r="D32" s="3">
        <f t="shared" si="1"/>
        <v>0</v>
      </c>
      <c r="E32" s="3"/>
      <c r="F32" s="3"/>
    </row>
    <row r="33" spans="1:6" x14ac:dyDescent="0.25">
      <c r="A33" s="2">
        <v>44246</v>
      </c>
      <c r="B33" s="3">
        <v>113.82</v>
      </c>
      <c r="C33" s="3">
        <f t="shared" si="0"/>
        <v>0</v>
      </c>
      <c r="D33" s="3">
        <f t="shared" si="1"/>
        <v>0</v>
      </c>
      <c r="E33" s="3"/>
      <c r="F33" s="3"/>
    </row>
    <row r="34" spans="1:6" x14ac:dyDescent="0.25">
      <c r="A34" s="2">
        <v>44249</v>
      </c>
      <c r="B34" s="3">
        <v>108.25</v>
      </c>
      <c r="C34" s="3">
        <f t="shared" si="0"/>
        <v>0</v>
      </c>
      <c r="D34" s="3">
        <f t="shared" si="1"/>
        <v>0</v>
      </c>
      <c r="E34" s="3"/>
      <c r="F34" s="3"/>
    </row>
    <row r="35" spans="1:6" x14ac:dyDescent="0.25">
      <c r="A35" s="2">
        <v>44250</v>
      </c>
      <c r="B35" s="3">
        <v>110.76</v>
      </c>
      <c r="C35" s="3">
        <f t="shared" si="0"/>
        <v>0</v>
      </c>
      <c r="D35" s="3">
        <f t="shared" si="1"/>
        <v>0</v>
      </c>
      <c r="E35" s="3"/>
      <c r="F35" s="3"/>
    </row>
    <row r="36" spans="1:6" x14ac:dyDescent="0.25">
      <c r="A36" s="2">
        <v>44251</v>
      </c>
      <c r="B36" s="3">
        <v>111.46</v>
      </c>
      <c r="C36" s="3">
        <f t="shared" si="0"/>
        <v>0</v>
      </c>
      <c r="D36" s="3">
        <f t="shared" si="1"/>
        <v>0</v>
      </c>
      <c r="E36" s="3"/>
      <c r="F36" s="3"/>
    </row>
    <row r="37" spans="1:6" x14ac:dyDescent="0.25">
      <c r="A37" s="2">
        <v>44252</v>
      </c>
      <c r="B37" s="3">
        <v>107.53</v>
      </c>
      <c r="C37" s="3">
        <f t="shared" si="0"/>
        <v>0</v>
      </c>
      <c r="D37" s="3">
        <f t="shared" si="1"/>
        <v>0</v>
      </c>
      <c r="E37" s="3"/>
      <c r="F37" s="3"/>
    </row>
    <row r="38" spans="1:6" x14ac:dyDescent="0.25">
      <c r="A38" s="2">
        <v>44253</v>
      </c>
      <c r="B38" s="3">
        <v>105.59</v>
      </c>
      <c r="C38" s="3">
        <f t="shared" si="0"/>
        <v>0</v>
      </c>
      <c r="D38" s="3">
        <f t="shared" si="1"/>
        <v>0</v>
      </c>
      <c r="E38" s="3"/>
      <c r="F38" s="3"/>
    </row>
    <row r="39" spans="1:6" x14ac:dyDescent="0.25">
      <c r="A39" s="2">
        <v>44256</v>
      </c>
      <c r="B39" s="3">
        <v>105.94</v>
      </c>
      <c r="C39" s="3">
        <f t="shared" si="0"/>
        <v>105.94</v>
      </c>
      <c r="D39" s="3">
        <f t="shared" si="1"/>
        <v>0</v>
      </c>
      <c r="E39" s="3"/>
      <c r="F39" s="3"/>
    </row>
    <row r="40" spans="1:6" x14ac:dyDescent="0.25">
      <c r="A40" s="2">
        <v>44257</v>
      </c>
      <c r="B40" s="3">
        <v>107.5</v>
      </c>
      <c r="C40" s="3">
        <f t="shared" si="0"/>
        <v>0</v>
      </c>
      <c r="D40" s="3">
        <f t="shared" si="1"/>
        <v>0</v>
      </c>
      <c r="E40" s="3"/>
      <c r="F40" s="3"/>
    </row>
    <row r="41" spans="1:6" x14ac:dyDescent="0.25">
      <c r="A41" s="2">
        <v>44258</v>
      </c>
      <c r="B41" s="3">
        <v>107.16</v>
      </c>
      <c r="C41" s="3">
        <f t="shared" si="0"/>
        <v>0</v>
      </c>
      <c r="D41" s="3">
        <f t="shared" si="1"/>
        <v>0</v>
      </c>
      <c r="E41" s="3"/>
      <c r="F41" s="3"/>
    </row>
    <row r="42" spans="1:6" x14ac:dyDescent="0.25">
      <c r="A42" s="2">
        <v>44259</v>
      </c>
      <c r="B42" s="3">
        <v>108.57</v>
      </c>
      <c r="C42" s="3">
        <f t="shared" si="0"/>
        <v>0</v>
      </c>
      <c r="D42" s="3">
        <f t="shared" si="1"/>
        <v>0</v>
      </c>
      <c r="E42" s="3"/>
      <c r="F42" s="3"/>
    </row>
    <row r="43" spans="1:6" x14ac:dyDescent="0.25">
      <c r="A43" s="2">
        <v>44260</v>
      </c>
      <c r="B43" s="3">
        <v>110.93</v>
      </c>
      <c r="C43" s="3">
        <f t="shared" si="0"/>
        <v>0</v>
      </c>
      <c r="D43" s="3">
        <f t="shared" si="1"/>
        <v>0</v>
      </c>
      <c r="E43" s="3"/>
      <c r="F43" s="3"/>
    </row>
    <row r="44" spans="1:6" x14ac:dyDescent="0.25">
      <c r="A44" s="2">
        <v>44263</v>
      </c>
      <c r="B44" s="3">
        <v>105.35</v>
      </c>
      <c r="C44" s="3">
        <f t="shared" si="0"/>
        <v>0</v>
      </c>
      <c r="D44" s="3">
        <f t="shared" si="1"/>
        <v>0</v>
      </c>
      <c r="E44" s="3"/>
      <c r="F44" s="3"/>
    </row>
    <row r="45" spans="1:6" x14ac:dyDescent="0.25">
      <c r="A45" s="2">
        <v>44264</v>
      </c>
      <c r="B45" s="3">
        <v>107.19</v>
      </c>
      <c r="C45" s="3">
        <f t="shared" si="0"/>
        <v>0</v>
      </c>
      <c r="D45" s="3">
        <f t="shared" si="1"/>
        <v>0</v>
      </c>
      <c r="E45" s="3"/>
      <c r="F45" s="3"/>
    </row>
    <row r="46" spans="1:6" x14ac:dyDescent="0.25">
      <c r="A46" s="2">
        <v>44265</v>
      </c>
      <c r="B46" s="3">
        <v>108.63</v>
      </c>
      <c r="C46" s="3">
        <f t="shared" si="0"/>
        <v>0</v>
      </c>
      <c r="D46" s="3">
        <f t="shared" si="1"/>
        <v>0</v>
      </c>
      <c r="E46" s="3"/>
      <c r="F46" s="3"/>
    </row>
    <row r="47" spans="1:6" x14ac:dyDescent="0.25">
      <c r="A47" s="2">
        <v>44266</v>
      </c>
      <c r="B47" s="3">
        <v>110.45</v>
      </c>
      <c r="C47" s="3">
        <f t="shared" si="0"/>
        <v>0</v>
      </c>
      <c r="D47" s="3">
        <f t="shared" si="1"/>
        <v>0</v>
      </c>
      <c r="E47" s="3"/>
      <c r="F47" s="3"/>
    </row>
    <row r="48" spans="1:6" x14ac:dyDescent="0.25">
      <c r="A48" s="2">
        <v>44267</v>
      </c>
      <c r="B48" s="3">
        <v>109.68</v>
      </c>
      <c r="C48" s="3">
        <f t="shared" si="0"/>
        <v>0</v>
      </c>
      <c r="D48" s="3">
        <f t="shared" si="1"/>
        <v>0</v>
      </c>
      <c r="E48" s="3"/>
      <c r="F48" s="3"/>
    </row>
    <row r="49" spans="1:6" x14ac:dyDescent="0.25">
      <c r="A49" s="2">
        <v>44270</v>
      </c>
      <c r="B49" s="3">
        <v>110.66</v>
      </c>
      <c r="C49" s="3">
        <f t="shared" si="0"/>
        <v>0</v>
      </c>
      <c r="D49" s="3">
        <f t="shared" si="1"/>
        <v>0</v>
      </c>
      <c r="E49" s="3"/>
      <c r="F49" s="3"/>
    </row>
    <row r="50" spans="1:6" x14ac:dyDescent="0.25">
      <c r="A50" s="2">
        <v>44271</v>
      </c>
      <c r="B50" s="3">
        <v>109.69</v>
      </c>
      <c r="C50" s="3">
        <f t="shared" si="0"/>
        <v>0</v>
      </c>
      <c r="D50" s="3">
        <f t="shared" si="1"/>
        <v>0</v>
      </c>
      <c r="E50" s="3"/>
      <c r="F50" s="3"/>
    </row>
    <row r="51" spans="1:6" x14ac:dyDescent="0.25">
      <c r="A51" s="2">
        <v>44272</v>
      </c>
      <c r="B51" s="3">
        <v>112.05</v>
      </c>
      <c r="C51" s="3">
        <f t="shared" si="0"/>
        <v>0</v>
      </c>
      <c r="D51" s="3">
        <f t="shared" si="1"/>
        <v>0</v>
      </c>
      <c r="E51" s="3"/>
      <c r="F51" s="3"/>
    </row>
    <row r="52" spans="1:6" x14ac:dyDescent="0.25">
      <c r="A52" s="2">
        <v>44273</v>
      </c>
      <c r="B52" s="3">
        <v>110.5</v>
      </c>
      <c r="C52" s="3">
        <f t="shared" si="0"/>
        <v>0</v>
      </c>
      <c r="D52" s="3">
        <f t="shared" si="1"/>
        <v>0</v>
      </c>
      <c r="E52" s="3"/>
      <c r="F52" s="3"/>
    </row>
    <row r="53" spans="1:6" x14ac:dyDescent="0.25">
      <c r="A53" s="2">
        <v>44274</v>
      </c>
      <c r="B53" s="3">
        <v>111.7</v>
      </c>
      <c r="C53" s="3">
        <f t="shared" si="0"/>
        <v>0</v>
      </c>
      <c r="D53" s="3">
        <f t="shared" si="1"/>
        <v>0</v>
      </c>
      <c r="E53" s="3"/>
      <c r="F53" s="3"/>
    </row>
    <row r="54" spans="1:6" x14ac:dyDescent="0.25">
      <c r="A54" s="2">
        <v>44277</v>
      </c>
      <c r="B54" s="3">
        <v>110.69</v>
      </c>
      <c r="C54" s="3">
        <f t="shared" si="0"/>
        <v>0</v>
      </c>
      <c r="D54" s="3">
        <f t="shared" si="1"/>
        <v>0</v>
      </c>
      <c r="E54" s="3"/>
      <c r="F54" s="3"/>
    </row>
    <row r="55" spans="1:6" x14ac:dyDescent="0.25">
      <c r="A55" s="2">
        <v>44278</v>
      </c>
      <c r="B55" s="3">
        <v>109.02</v>
      </c>
      <c r="C55" s="3">
        <f t="shared" si="0"/>
        <v>0</v>
      </c>
      <c r="D55" s="3">
        <f t="shared" si="1"/>
        <v>0</v>
      </c>
      <c r="E55" s="3"/>
      <c r="F55" s="3"/>
    </row>
    <row r="56" spans="1:6" x14ac:dyDescent="0.25">
      <c r="A56" s="2">
        <v>44279</v>
      </c>
      <c r="B56" s="3">
        <v>110.33</v>
      </c>
      <c r="C56" s="3">
        <f t="shared" si="0"/>
        <v>0</v>
      </c>
      <c r="D56" s="3">
        <f t="shared" si="1"/>
        <v>0</v>
      </c>
      <c r="E56" s="3"/>
      <c r="F56" s="3"/>
    </row>
  </sheetData>
  <conditionalFormatting sqref="L2">
    <cfRule type="expression" dxfId="1" priority="1">
      <formula>$L$2&lt;0</formula>
    </cfRule>
    <cfRule type="expression" dxfId="0" priority="2">
      <formula>$L$2&gt;0</formula>
    </cfRule>
  </conditionalFormatting>
  <dataValidations count="1">
    <dataValidation type="list" allowBlank="1" showInputMessage="1" showErrorMessage="1" sqref="H2 J2" xr:uid="{A3486914-6FEF-4D34-9C0F-A113AFEC61A3}">
      <formula1>$A$2:$A$56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Gabarito</vt:lpstr>
      <vt:lpstr>DoZero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Filipe Augusto</cp:lastModifiedBy>
  <dcterms:created xsi:type="dcterms:W3CDTF">2021-03-24T15:36:50Z</dcterms:created>
  <dcterms:modified xsi:type="dcterms:W3CDTF">2025-11-06T00:07:08Z</dcterms:modified>
</cp:coreProperties>
</file>