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cursos\excel\7-Gráficos\"/>
    </mc:Choice>
  </mc:AlternateContent>
  <xr:revisionPtr revIDLastSave="0" documentId="13_ncr:1_{91FFEF57-8F8E-4E19-B4E3-A43917FF5EC4}" xr6:coauthVersionLast="47" xr6:coauthVersionMax="47" xr10:uidLastSave="{00000000-0000-0000-0000-000000000000}"/>
  <bookViews>
    <workbookView xWindow="-120" yWindow="-120" windowWidth="20730" windowHeight="11160" activeTab="1" xr2:uid="{2A188719-EE9F-4F65-AA10-778C9ECD37D5}"/>
  </bookViews>
  <sheets>
    <sheet name="Barra_Gabarito" sheetId="1" r:id="rId1"/>
    <sheet name="Barra_Zero" sheetId="3" r:id="rId2"/>
  </sheets>
  <definedNames>
    <definedName name="_xlnm._FilterDatabase" localSheetId="0" hidden="1">Barra_Gabarito!$A$1:$B$1</definedName>
    <definedName name="_xlnm._FilterDatabase" localSheetId="1" hidden="1">Barra_Zero!$A$1:$B$1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3" l="1"/>
  <c r="D3" i="3" s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2" i="3"/>
  <c r="D2" i="3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2" i="1"/>
  <c r="D2" i="1" s="1"/>
</calcChain>
</file>

<file path=xl/sharedStrings.xml><?xml version="1.0" encoding="utf-8"?>
<sst xmlns="http://schemas.openxmlformats.org/spreadsheetml/2006/main" count="41" uniqueCount="21">
  <si>
    <t>Cidade</t>
  </si>
  <si>
    <t>População</t>
  </si>
  <si>
    <t>São Paulo</t>
  </si>
  <si>
    <t>Rio de Janeiro</t>
  </si>
  <si>
    <t>Brasília</t>
  </si>
  <si>
    <t>Salvador</t>
  </si>
  <si>
    <t>Fortaleza</t>
  </si>
  <si>
    <t>Belo Horizonte</t>
  </si>
  <si>
    <t>Manaus</t>
  </si>
  <si>
    <t>Curitiba</t>
  </si>
  <si>
    <t>Recife</t>
  </si>
  <si>
    <t>Goiânia</t>
  </si>
  <si>
    <t>Belém</t>
  </si>
  <si>
    <t>Porto Alegre</t>
  </si>
  <si>
    <t>Guarulhos</t>
  </si>
  <si>
    <t>Campinas</t>
  </si>
  <si>
    <t>São Luís</t>
  </si>
  <si>
    <t>Mega Município</t>
  </si>
  <si>
    <t>Sim</t>
  </si>
  <si>
    <t>Não</t>
  </si>
  <si>
    <t>&lt;- Colunas Auxiliares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</si>
</sst>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Font="1" applyFill="1" applyBorder="1" applyAlignment="1">
      <alignment horizontal="left"/>
    </xf>
    <xf numFmtId="164" fontId="0" fillId="0" borderId="0" xfId="1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Fill="1" applyBorder="1" applyAlignment="1">
      <alignment horizontal="center"/>
    </xf>
    <xf numFmtId="0" fontId="2" fillId="0" borderId="0" xfId="0" applyFont="1" applyFill="1" applyAlignment="1">
      <alignment horizontal="center"/>
    </xf>
    <xf numFmtId="164" fontId="2" fillId="0" borderId="0" xfId="1" applyNumberFormat="1" applyFont="1" applyFill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0" fillId="3" borderId="0" xfId="0" applyFont="1" applyFill="1" applyBorder="1" applyAlignment="1">
      <alignment horizontal="left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colors>
    <mruColors>
      <color rgb="FF4BFF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Barra_Gabarito!$C$1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rgbClr val="4BFF9C"/>
            </a:solidFill>
            <a:ln>
              <a:noFill/>
            </a:ln>
            <a:effectLst/>
          </c:spPr>
          <c:invertIfNegative val="0"/>
          <c:cat>
            <c:strRef>
              <c:f>Barra_Gabarito!$A$2:$A$16</c:f>
              <c:strCache>
                <c:ptCount val="15"/>
                <c:pt idx="0">
                  <c:v>São Luís</c:v>
                </c:pt>
                <c:pt idx="1">
                  <c:v>Campinas</c:v>
                </c:pt>
                <c:pt idx="2">
                  <c:v>Guarulhos</c:v>
                </c:pt>
                <c:pt idx="3">
                  <c:v>Porto Alegre</c:v>
                </c:pt>
                <c:pt idx="4">
                  <c:v>Belém</c:v>
                </c:pt>
                <c:pt idx="5">
                  <c:v>Goiânia</c:v>
                </c:pt>
                <c:pt idx="6">
                  <c:v>Recife</c:v>
                </c:pt>
                <c:pt idx="7">
                  <c:v>Curitiba</c:v>
                </c:pt>
                <c:pt idx="8">
                  <c:v>Manaus</c:v>
                </c:pt>
                <c:pt idx="9">
                  <c:v>Belo Horizonte</c:v>
                </c:pt>
                <c:pt idx="10">
                  <c:v>Fortaleza</c:v>
                </c:pt>
                <c:pt idx="11">
                  <c:v>Salvador</c:v>
                </c:pt>
                <c:pt idx="12">
                  <c:v>Brasília</c:v>
                </c:pt>
                <c:pt idx="13">
                  <c:v>Rio de Janeiro</c:v>
                </c:pt>
                <c:pt idx="14">
                  <c:v>São Paulo</c:v>
                </c:pt>
              </c:strCache>
            </c:strRef>
          </c:cat>
          <c:val>
            <c:numRef>
              <c:f>Barra_Gabarito!$C$2:$C$16</c:f>
              <c:numCache>
                <c:formatCode>#,##0_ ;\-#,##0\ 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1516113</c:v>
                </c:pt>
                <c:pt idx="6">
                  <c:v>1645727</c:v>
                </c:pt>
                <c:pt idx="7">
                  <c:v>1933105</c:v>
                </c:pt>
                <c:pt idx="8">
                  <c:v>2182763</c:v>
                </c:pt>
                <c:pt idx="9">
                  <c:v>2512070</c:v>
                </c:pt>
                <c:pt idx="10">
                  <c:v>2669342</c:v>
                </c:pt>
                <c:pt idx="11">
                  <c:v>2872347</c:v>
                </c:pt>
                <c:pt idx="12">
                  <c:v>3015268</c:v>
                </c:pt>
                <c:pt idx="13">
                  <c:v>6718903</c:v>
                </c:pt>
                <c:pt idx="14">
                  <c:v>12252023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D1-41BE-B4D5-ABFC6426107A}"/>
            </c:ext>
          </c:extLst>
        </c:ser>
        <c:ser>
          <c:idx val="1"/>
          <c:order val="1"/>
          <c:tx>
            <c:strRef>
              <c:f>Barra_Gabarito!$D$1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Barra_Gabarito!$A$2:$A$16</c:f>
              <c:strCache>
                <c:ptCount val="15"/>
                <c:pt idx="0">
                  <c:v>São Luís</c:v>
                </c:pt>
                <c:pt idx="1">
                  <c:v>Campinas</c:v>
                </c:pt>
                <c:pt idx="2">
                  <c:v>Guarulhos</c:v>
                </c:pt>
                <c:pt idx="3">
                  <c:v>Porto Alegre</c:v>
                </c:pt>
                <c:pt idx="4">
                  <c:v>Belém</c:v>
                </c:pt>
                <c:pt idx="5">
                  <c:v>Goiânia</c:v>
                </c:pt>
                <c:pt idx="6">
                  <c:v>Recife</c:v>
                </c:pt>
                <c:pt idx="7">
                  <c:v>Curitiba</c:v>
                </c:pt>
                <c:pt idx="8">
                  <c:v>Manaus</c:v>
                </c:pt>
                <c:pt idx="9">
                  <c:v>Belo Horizonte</c:v>
                </c:pt>
                <c:pt idx="10">
                  <c:v>Fortaleza</c:v>
                </c:pt>
                <c:pt idx="11">
                  <c:v>Salvador</c:v>
                </c:pt>
                <c:pt idx="12">
                  <c:v>Brasília</c:v>
                </c:pt>
                <c:pt idx="13">
                  <c:v>Rio de Janeiro</c:v>
                </c:pt>
                <c:pt idx="14">
                  <c:v>São Paulo</c:v>
                </c:pt>
              </c:strCache>
            </c:strRef>
          </c:cat>
          <c:val>
            <c:numRef>
              <c:f>Barra_Gabarito!$D$2:$D$16</c:f>
              <c:numCache>
                <c:formatCode>#,##0_ ;\-#,##0\ </c:formatCode>
                <c:ptCount val="15"/>
                <c:pt idx="0">
                  <c:v>1101884</c:v>
                </c:pt>
                <c:pt idx="1">
                  <c:v>1204073</c:v>
                </c:pt>
                <c:pt idx="2">
                  <c:v>1379182</c:v>
                </c:pt>
                <c:pt idx="3">
                  <c:v>1483771</c:v>
                </c:pt>
                <c:pt idx="4">
                  <c:v>1492745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D1-41BE-B4D5-ABFC6426107A}"/>
            </c:ext>
          </c:extLst>
        </c:ser>
        <c:ser>
          <c:idx val="2"/>
          <c:order val="2"/>
          <c:tx>
            <c:strRef>
              <c:f>Barra_Gabarito!$B$1</c:f>
              <c:strCache>
                <c:ptCount val="1"/>
                <c:pt idx="0">
                  <c:v>População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Barra_Gabarito!$B$2:$B$16</c:f>
              <c:numCache>
                <c:formatCode>#,##0_ ;\-#,##0\ </c:formatCode>
                <c:ptCount val="15"/>
                <c:pt idx="0">
                  <c:v>1101884</c:v>
                </c:pt>
                <c:pt idx="1">
                  <c:v>1204073</c:v>
                </c:pt>
                <c:pt idx="2">
                  <c:v>1379182</c:v>
                </c:pt>
                <c:pt idx="3">
                  <c:v>1483771</c:v>
                </c:pt>
                <c:pt idx="4">
                  <c:v>1492745</c:v>
                </c:pt>
                <c:pt idx="5">
                  <c:v>1516113</c:v>
                </c:pt>
                <c:pt idx="6">
                  <c:v>1645727</c:v>
                </c:pt>
                <c:pt idx="7">
                  <c:v>1933105</c:v>
                </c:pt>
                <c:pt idx="8">
                  <c:v>2182763</c:v>
                </c:pt>
                <c:pt idx="9">
                  <c:v>2512070</c:v>
                </c:pt>
                <c:pt idx="10">
                  <c:v>2669342</c:v>
                </c:pt>
                <c:pt idx="11">
                  <c:v>2872347</c:v>
                </c:pt>
                <c:pt idx="12">
                  <c:v>3015268</c:v>
                </c:pt>
                <c:pt idx="13">
                  <c:v>6718903</c:v>
                </c:pt>
                <c:pt idx="14">
                  <c:v>12252023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1D1-41BE-B4D5-ABFC642610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800116016"/>
        <c:axId val="663291424"/>
      </c:barChart>
      <c:catAx>
        <c:axId val="800116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3291424"/>
        <c:crosses val="autoZero"/>
        <c:auto val="1"/>
        <c:lblAlgn val="ctr"/>
        <c:lblOffset val="100"/>
        <c:noMultiLvlLbl val="0"/>
      </c:catAx>
      <c:valAx>
        <c:axId val="663291424"/>
        <c:scaling>
          <c:orientation val="minMax"/>
          <c:max val="15000000"/>
          <c:min val="0"/>
        </c:scaling>
        <c:delete val="1"/>
        <c:axPos val="b"/>
        <c:numFmt formatCode="#,##0_ ;\-#,##0\ " sourceLinked="1"/>
        <c:majorTickMark val="out"/>
        <c:minorTickMark val="none"/>
        <c:tickLblPos val="nextTo"/>
        <c:crossAx val="80011601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385021785336431"/>
          <c:y val="1.7675977945113479E-3"/>
          <c:w val="0.78118557325606297"/>
          <c:h val="0.8981481481481481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Barra_Zero!$C$1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rgbClr val="4BFF9C"/>
            </a:solidFill>
            <a:ln>
              <a:noFill/>
            </a:ln>
            <a:effectLst/>
          </c:spPr>
          <c:invertIfNegative val="0"/>
          <c:cat>
            <c:strRef>
              <c:f>Barra_Zero!$A$2:$A$16</c:f>
              <c:strCache>
                <c:ptCount val="15"/>
                <c:pt idx="0">
                  <c:v>São Luís</c:v>
                </c:pt>
                <c:pt idx="1">
                  <c:v>Campinas</c:v>
                </c:pt>
                <c:pt idx="2">
                  <c:v>Guarulhos</c:v>
                </c:pt>
                <c:pt idx="3">
                  <c:v>Porto Alegre</c:v>
                </c:pt>
                <c:pt idx="4">
                  <c:v>Belém</c:v>
                </c:pt>
                <c:pt idx="5">
                  <c:v>Goiânia</c:v>
                </c:pt>
                <c:pt idx="6">
                  <c:v>Recife</c:v>
                </c:pt>
                <c:pt idx="7">
                  <c:v>Curitiba</c:v>
                </c:pt>
                <c:pt idx="8">
                  <c:v>Manaus</c:v>
                </c:pt>
                <c:pt idx="9">
                  <c:v>Belo Horizonte</c:v>
                </c:pt>
                <c:pt idx="10">
                  <c:v>Fortaleza</c:v>
                </c:pt>
                <c:pt idx="11">
                  <c:v>Salvador</c:v>
                </c:pt>
                <c:pt idx="12">
                  <c:v>Brasília</c:v>
                </c:pt>
                <c:pt idx="13">
                  <c:v>Rio de Janeiro</c:v>
                </c:pt>
                <c:pt idx="14">
                  <c:v>São Paulo</c:v>
                </c:pt>
              </c:strCache>
            </c:strRef>
          </c:cat>
          <c:val>
            <c:numRef>
              <c:f>Barra_Zero!$C$2:$C$16</c:f>
              <c:numCache>
                <c:formatCode>#,##0_ ;\-#,##0\ 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3015268</c:v>
                </c:pt>
                <c:pt idx="13">
                  <c:v>6718903</c:v>
                </c:pt>
                <c:pt idx="14">
                  <c:v>12252023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4-4CCB-B658-7CD726E98B44}"/>
            </c:ext>
          </c:extLst>
        </c:ser>
        <c:ser>
          <c:idx val="1"/>
          <c:order val="1"/>
          <c:tx>
            <c:strRef>
              <c:f>Barra_Zero!$D$1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Barra_Zero!$A$2:$A$16</c:f>
              <c:strCache>
                <c:ptCount val="15"/>
                <c:pt idx="0">
                  <c:v>São Luís</c:v>
                </c:pt>
                <c:pt idx="1">
                  <c:v>Campinas</c:v>
                </c:pt>
                <c:pt idx="2">
                  <c:v>Guarulhos</c:v>
                </c:pt>
                <c:pt idx="3">
                  <c:v>Porto Alegre</c:v>
                </c:pt>
                <c:pt idx="4">
                  <c:v>Belém</c:v>
                </c:pt>
                <c:pt idx="5">
                  <c:v>Goiânia</c:v>
                </c:pt>
                <c:pt idx="6">
                  <c:v>Recife</c:v>
                </c:pt>
                <c:pt idx="7">
                  <c:v>Curitiba</c:v>
                </c:pt>
                <c:pt idx="8">
                  <c:v>Manaus</c:v>
                </c:pt>
                <c:pt idx="9">
                  <c:v>Belo Horizonte</c:v>
                </c:pt>
                <c:pt idx="10">
                  <c:v>Fortaleza</c:v>
                </c:pt>
                <c:pt idx="11">
                  <c:v>Salvador</c:v>
                </c:pt>
                <c:pt idx="12">
                  <c:v>Brasília</c:v>
                </c:pt>
                <c:pt idx="13">
                  <c:v>Rio de Janeiro</c:v>
                </c:pt>
                <c:pt idx="14">
                  <c:v>São Paulo</c:v>
                </c:pt>
              </c:strCache>
            </c:strRef>
          </c:cat>
          <c:val>
            <c:numRef>
              <c:f>Barra_Zero!$D$2:$D$16</c:f>
              <c:numCache>
                <c:formatCode>#,##0_ ;\-#,##0\ </c:formatCode>
                <c:ptCount val="15"/>
                <c:pt idx="0">
                  <c:v>1101884</c:v>
                </c:pt>
                <c:pt idx="1">
                  <c:v>1204073</c:v>
                </c:pt>
                <c:pt idx="2">
                  <c:v>1379182</c:v>
                </c:pt>
                <c:pt idx="3">
                  <c:v>1483771</c:v>
                </c:pt>
                <c:pt idx="4">
                  <c:v>1492745</c:v>
                </c:pt>
                <c:pt idx="5">
                  <c:v>1516113</c:v>
                </c:pt>
                <c:pt idx="6">
                  <c:v>1645727</c:v>
                </c:pt>
                <c:pt idx="7">
                  <c:v>1933105</c:v>
                </c:pt>
                <c:pt idx="8">
                  <c:v>2182763</c:v>
                </c:pt>
                <c:pt idx="9">
                  <c:v>2512070</c:v>
                </c:pt>
                <c:pt idx="10">
                  <c:v>2669342</c:v>
                </c:pt>
                <c:pt idx="11">
                  <c:v>2872347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34-4CCB-B658-7CD726E98B44}"/>
            </c:ext>
          </c:extLst>
        </c:ser>
        <c:ser>
          <c:idx val="2"/>
          <c:order val="2"/>
          <c:tx>
            <c:strRef>
              <c:f>Barra_Zero!$B$1</c:f>
              <c:strCache>
                <c:ptCount val="1"/>
                <c:pt idx="0">
                  <c:v>População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14"/>
              <c:layout>
                <c:manualLayout>
                  <c:x val="0"/>
                  <c:y val="0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F34-4CCB-B658-7CD726E98B4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Barra_Zero!$B$2:$B$16</c:f>
              <c:numCache>
                <c:formatCode>#,##0_ ;\-#,##0\ </c:formatCode>
                <c:ptCount val="15"/>
                <c:pt idx="0">
                  <c:v>1101884</c:v>
                </c:pt>
                <c:pt idx="1">
                  <c:v>1204073</c:v>
                </c:pt>
                <c:pt idx="2">
                  <c:v>1379182</c:v>
                </c:pt>
                <c:pt idx="3">
                  <c:v>1483771</c:v>
                </c:pt>
                <c:pt idx="4">
                  <c:v>1492745</c:v>
                </c:pt>
                <c:pt idx="5">
                  <c:v>1516113</c:v>
                </c:pt>
                <c:pt idx="6">
                  <c:v>1645727</c:v>
                </c:pt>
                <c:pt idx="7">
                  <c:v>1933105</c:v>
                </c:pt>
                <c:pt idx="8">
                  <c:v>2182763</c:v>
                </c:pt>
                <c:pt idx="9">
                  <c:v>2512070</c:v>
                </c:pt>
                <c:pt idx="10">
                  <c:v>2669342</c:v>
                </c:pt>
                <c:pt idx="11">
                  <c:v>2872347</c:v>
                </c:pt>
                <c:pt idx="12">
                  <c:v>3015268</c:v>
                </c:pt>
                <c:pt idx="13">
                  <c:v>6718903</c:v>
                </c:pt>
                <c:pt idx="14">
                  <c:v>12252023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34-4CCB-B658-7CD726E98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5449776"/>
        <c:axId val="1765438736"/>
      </c:barChart>
      <c:catAx>
        <c:axId val="1765449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5438736"/>
        <c:crosses val="autoZero"/>
        <c:auto val="1"/>
        <c:lblAlgn val="ctr"/>
        <c:lblOffset val="100"/>
        <c:noMultiLvlLbl val="0"/>
      </c:catAx>
      <c:valAx>
        <c:axId val="1765438736"/>
        <c:scaling>
          <c:orientation val="minMax"/>
          <c:max val="13000000"/>
          <c:min val="0"/>
        </c:scaling>
        <c:delete val="1"/>
        <c:axPos val="b"/>
        <c:numFmt formatCode="#,##0_ ;\-#,##0\ " sourceLinked="1"/>
        <c:majorTickMark val="out"/>
        <c:minorTickMark val="none"/>
        <c:tickLblPos val="nextTo"/>
        <c:crossAx val="176544977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240322</xdr:colOff>
      <xdr:row>0</xdr:row>
      <xdr:rowOff>77876</xdr:rowOff>
    </xdr:from>
    <xdr:to>
      <xdr:col>12</xdr:col>
      <xdr:colOff>501578</xdr:colOff>
      <xdr:row>18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7F47F71-F943-4E02-BD9D-7395F7434B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246062</xdr:colOff>
      <xdr:row>0</xdr:row>
      <xdr:rowOff>134937</xdr:rowOff>
    </xdr:from>
    <xdr:to>
      <xdr:col>16</xdr:col>
      <xdr:colOff>190501</xdr:colOff>
      <xdr:row>17</xdr:row>
      <xdr:rowOff>174623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F3B627E-5224-BD92-D557-12AFAFE2F9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48605-9096-4DC3-A333-5AA67D1A72C5}">
  <dimension ref="A1:E19"/>
  <sheetViews>
    <sheetView showGridLines="0" topLeftCell="A4" zoomScale="115" zoomScaleNormal="115" workbookViewId="0">
      <selection activeCell="B2" sqref="B2:B16"/>
    </sheetView>
  </sheetViews>
  <sheetFormatPr defaultColWidth="8.85546875" defaultRowHeight="14.45" customHeight="1" outlineLevelCol="1" x14ac:dyDescent="0.25"/>
  <cols>
    <col min="1" max="2" width="15.7109375" style="5" customWidth="1"/>
    <col min="3" max="4" width="15.7109375" style="5" hidden="1" customWidth="1" outlineLevel="1"/>
    <col min="5" max="5" width="15.5703125" style="1" customWidth="1" collapsed="1"/>
    <col min="6" max="6" width="12.140625" style="1" customWidth="1"/>
    <col min="7" max="16384" width="8.85546875" style="1"/>
  </cols>
  <sheetData>
    <row r="1" spans="1:5" ht="14.45" customHeight="1" x14ac:dyDescent="0.25">
      <c r="A1" s="3" t="s">
        <v>0</v>
      </c>
      <c r="B1" s="3" t="s">
        <v>1</v>
      </c>
      <c r="C1" s="4" t="s">
        <v>18</v>
      </c>
      <c r="D1" s="4" t="s">
        <v>19</v>
      </c>
    </row>
    <row r="2" spans="1:5" ht="14.45" customHeight="1" x14ac:dyDescent="0.25">
      <c r="A2" s="4" t="s">
        <v>16</v>
      </c>
      <c r="B2" s="2">
        <v>1101884</v>
      </c>
      <c r="C2" s="2">
        <f t="shared" ref="C2:C16" si="0">IF(B2&gt;$B$18,B2,0)</f>
        <v>0</v>
      </c>
      <c r="D2" s="2">
        <f>B2-C2</f>
        <v>1101884</v>
      </c>
      <c r="E2"/>
    </row>
    <row r="3" spans="1:5" ht="14.45" customHeight="1" x14ac:dyDescent="0.25">
      <c r="A3" s="4" t="s">
        <v>15</v>
      </c>
      <c r="B3" s="2">
        <v>1204073</v>
      </c>
      <c r="C3" s="2">
        <f t="shared" si="0"/>
        <v>0</v>
      </c>
      <c r="D3" s="2">
        <f t="shared" ref="D3:D16" si="1">B3-C3</f>
        <v>1204073</v>
      </c>
      <c r="E3"/>
    </row>
    <row r="4" spans="1:5" ht="14.45" customHeight="1" x14ac:dyDescent="0.25">
      <c r="A4" s="4" t="s">
        <v>14</v>
      </c>
      <c r="B4" s="2">
        <v>1379182</v>
      </c>
      <c r="C4" s="2">
        <f t="shared" si="0"/>
        <v>0</v>
      </c>
      <c r="D4" s="2">
        <f t="shared" si="1"/>
        <v>1379182</v>
      </c>
      <c r="E4"/>
    </row>
    <row r="5" spans="1:5" ht="14.45" customHeight="1" x14ac:dyDescent="0.25">
      <c r="A5" s="4" t="s">
        <v>13</v>
      </c>
      <c r="B5" s="2">
        <v>1483771</v>
      </c>
      <c r="C5" s="2">
        <f t="shared" si="0"/>
        <v>0</v>
      </c>
      <c r="D5" s="2">
        <f t="shared" si="1"/>
        <v>1483771</v>
      </c>
      <c r="E5"/>
    </row>
    <row r="6" spans="1:5" ht="14.45" customHeight="1" x14ac:dyDescent="0.25">
      <c r="A6" s="4" t="s">
        <v>12</v>
      </c>
      <c r="B6" s="2">
        <v>1492745</v>
      </c>
      <c r="C6" s="2">
        <f t="shared" si="0"/>
        <v>0</v>
      </c>
      <c r="D6" s="2">
        <f t="shared" si="1"/>
        <v>1492745</v>
      </c>
      <c r="E6"/>
    </row>
    <row r="7" spans="1:5" ht="14.45" customHeight="1" x14ac:dyDescent="0.25">
      <c r="A7" s="4" t="s">
        <v>11</v>
      </c>
      <c r="B7" s="2">
        <v>1516113</v>
      </c>
      <c r="C7" s="2">
        <f t="shared" si="0"/>
        <v>1516113</v>
      </c>
      <c r="D7" s="2">
        <f t="shared" si="1"/>
        <v>0</v>
      </c>
      <c r="E7"/>
    </row>
    <row r="8" spans="1:5" ht="14.45" customHeight="1" x14ac:dyDescent="0.25">
      <c r="A8" s="4" t="s">
        <v>10</v>
      </c>
      <c r="B8" s="2">
        <v>1645727</v>
      </c>
      <c r="C8" s="2">
        <f t="shared" si="0"/>
        <v>1645727</v>
      </c>
      <c r="D8" s="2">
        <f t="shared" si="1"/>
        <v>0</v>
      </c>
      <c r="E8"/>
    </row>
    <row r="9" spans="1:5" ht="14.45" customHeight="1" x14ac:dyDescent="0.25">
      <c r="A9" s="4" t="s">
        <v>9</v>
      </c>
      <c r="B9" s="2">
        <v>1933105</v>
      </c>
      <c r="C9" s="2">
        <f t="shared" si="0"/>
        <v>1933105</v>
      </c>
      <c r="D9" s="2">
        <f t="shared" si="1"/>
        <v>0</v>
      </c>
      <c r="E9"/>
    </row>
    <row r="10" spans="1:5" ht="14.45" customHeight="1" x14ac:dyDescent="0.25">
      <c r="A10" s="4" t="s">
        <v>8</v>
      </c>
      <c r="B10" s="2">
        <v>2182763</v>
      </c>
      <c r="C10" s="2">
        <f t="shared" si="0"/>
        <v>2182763</v>
      </c>
      <c r="D10" s="2">
        <f t="shared" si="1"/>
        <v>0</v>
      </c>
      <c r="E10"/>
    </row>
    <row r="11" spans="1:5" ht="14.45" customHeight="1" x14ac:dyDescent="0.25">
      <c r="A11" s="4" t="s">
        <v>7</v>
      </c>
      <c r="B11" s="2">
        <v>2512070</v>
      </c>
      <c r="C11" s="2">
        <f t="shared" si="0"/>
        <v>2512070</v>
      </c>
      <c r="D11" s="2">
        <f t="shared" si="1"/>
        <v>0</v>
      </c>
      <c r="E11"/>
    </row>
    <row r="12" spans="1:5" ht="14.45" customHeight="1" x14ac:dyDescent="0.25">
      <c r="A12" s="4" t="s">
        <v>6</v>
      </c>
      <c r="B12" s="2">
        <v>2669342</v>
      </c>
      <c r="C12" s="2">
        <f t="shared" si="0"/>
        <v>2669342</v>
      </c>
      <c r="D12" s="2">
        <f t="shared" si="1"/>
        <v>0</v>
      </c>
      <c r="E12"/>
    </row>
    <row r="13" spans="1:5" ht="14.45" customHeight="1" x14ac:dyDescent="0.25">
      <c r="A13" s="4" t="s">
        <v>5</v>
      </c>
      <c r="B13" s="2">
        <v>2872347</v>
      </c>
      <c r="C13" s="2">
        <f t="shared" si="0"/>
        <v>2872347</v>
      </c>
      <c r="D13" s="2">
        <f t="shared" si="1"/>
        <v>0</v>
      </c>
      <c r="E13"/>
    </row>
    <row r="14" spans="1:5" ht="14.45" customHeight="1" x14ac:dyDescent="0.25">
      <c r="A14" s="4" t="s">
        <v>4</v>
      </c>
      <c r="B14" s="2">
        <v>3015268</v>
      </c>
      <c r="C14" s="2">
        <f t="shared" si="0"/>
        <v>3015268</v>
      </c>
      <c r="D14" s="2">
        <f t="shared" si="1"/>
        <v>0</v>
      </c>
      <c r="E14"/>
    </row>
    <row r="15" spans="1:5" ht="14.45" customHeight="1" x14ac:dyDescent="0.25">
      <c r="A15" s="4" t="s">
        <v>3</v>
      </c>
      <c r="B15" s="2">
        <v>6718903</v>
      </c>
      <c r="C15" s="2">
        <f t="shared" si="0"/>
        <v>6718903</v>
      </c>
      <c r="D15" s="2">
        <f t="shared" si="1"/>
        <v>0</v>
      </c>
      <c r="E15"/>
    </row>
    <row r="16" spans="1:5" ht="14.45" customHeight="1" x14ac:dyDescent="0.25">
      <c r="A16" s="4" t="s">
        <v>2</v>
      </c>
      <c r="B16" s="2">
        <v>12252023</v>
      </c>
      <c r="C16" s="2">
        <f t="shared" si="0"/>
        <v>12252023</v>
      </c>
      <c r="D16" s="2">
        <f t="shared" si="1"/>
        <v>0</v>
      </c>
      <c r="E16"/>
    </row>
    <row r="17" spans="1:5" ht="14.45" customHeight="1" x14ac:dyDescent="0.25">
      <c r="A17" s="4"/>
      <c r="B17" s="2"/>
      <c r="C17" s="4"/>
      <c r="D17" s="4"/>
      <c r="E17"/>
    </row>
    <row r="18" spans="1:5" ht="14.45" customHeight="1" x14ac:dyDescent="0.25">
      <c r="A18" s="6" t="s">
        <v>17</v>
      </c>
      <c r="B18" s="7">
        <v>1500000</v>
      </c>
      <c r="C18" s="4"/>
      <c r="D18" s="4"/>
      <c r="E18"/>
    </row>
    <row r="19" spans="1:5" ht="14.45" customHeight="1" x14ac:dyDescent="0.25">
      <c r="A19" s="4"/>
      <c r="B19" s="2"/>
      <c r="C19" s="4"/>
      <c r="D19" s="4"/>
      <c r="E19"/>
    </row>
  </sheetData>
  <autoFilter ref="A1:B1" xr:uid="{BBE96799-671A-4C68-A732-473A40179121}">
    <sortState xmlns:xlrd2="http://schemas.microsoft.com/office/spreadsheetml/2017/richdata2" ref="A2:B16">
      <sortCondition ref="B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13784-C7E9-4852-9784-0B97B9ED4E5F}">
  <dimension ref="A1:E19"/>
  <sheetViews>
    <sheetView showGridLines="0" tabSelected="1" zoomScaleNormal="100" workbookViewId="0">
      <selection activeCell="R5" sqref="R5"/>
    </sheetView>
  </sheetViews>
  <sheetFormatPr defaultColWidth="8.85546875" defaultRowHeight="14.45" customHeight="1" outlineLevelCol="1" x14ac:dyDescent="0.25"/>
  <cols>
    <col min="1" max="2" width="15.7109375" style="5" customWidth="1"/>
    <col min="3" max="3" width="11.28515625" style="1" hidden="1" customWidth="1" outlineLevel="1"/>
    <col min="4" max="4" width="10.28515625" style="1" hidden="1" customWidth="1" outlineLevel="1"/>
    <col min="5" max="5" width="19.7109375" style="1" hidden="1" customWidth="1" collapsed="1"/>
    <col min="6" max="16384" width="8.85546875" style="1"/>
  </cols>
  <sheetData>
    <row r="1" spans="1:5" ht="14.45" customHeight="1" x14ac:dyDescent="0.25">
      <c r="A1" s="3" t="s">
        <v>0</v>
      </c>
      <c r="B1" s="3" t="s">
        <v>1</v>
      </c>
      <c r="C1" s="8" t="s">
        <v>18</v>
      </c>
      <c r="D1" s="8" t="s">
        <v>19</v>
      </c>
      <c r="E1" s="9" t="s">
        <v>20</v>
      </c>
    </row>
    <row r="2" spans="1:5" ht="14.45" customHeight="1" x14ac:dyDescent="0.25">
      <c r="A2" s="4" t="s">
        <v>16</v>
      </c>
      <c r="B2" s="2">
        <v>1101884</v>
      </c>
      <c r="C2" s="2">
        <f>IF(B2&gt;=$B$18, B2, 0)</f>
        <v>0</v>
      </c>
      <c r="D2" s="2">
        <f>B2-C2</f>
        <v>1101884</v>
      </c>
    </row>
    <row r="3" spans="1:5" ht="14.45" customHeight="1" x14ac:dyDescent="0.25">
      <c r="A3" s="4" t="s">
        <v>15</v>
      </c>
      <c r="B3" s="2">
        <v>1204073</v>
      </c>
      <c r="C3" s="2">
        <f t="shared" ref="C3:C16" si="0">IF(B3&gt;=$B$18, B3, 0)</f>
        <v>0</v>
      </c>
      <c r="D3" s="2">
        <f t="shared" ref="D3:D16" si="1">B3-C3</f>
        <v>1204073</v>
      </c>
    </row>
    <row r="4" spans="1:5" ht="14.45" customHeight="1" x14ac:dyDescent="0.25">
      <c r="A4" s="4" t="s">
        <v>14</v>
      </c>
      <c r="B4" s="2">
        <v>1379182</v>
      </c>
      <c r="C4" s="2">
        <f t="shared" si="0"/>
        <v>0</v>
      </c>
      <c r="D4" s="2">
        <f t="shared" si="1"/>
        <v>1379182</v>
      </c>
    </row>
    <row r="5" spans="1:5" ht="14.45" customHeight="1" x14ac:dyDescent="0.25">
      <c r="A5" s="4" t="s">
        <v>13</v>
      </c>
      <c r="B5" s="2">
        <v>1483771</v>
      </c>
      <c r="C5" s="2">
        <f t="shared" si="0"/>
        <v>0</v>
      </c>
      <c r="D5" s="2">
        <f t="shared" si="1"/>
        <v>1483771</v>
      </c>
    </row>
    <row r="6" spans="1:5" ht="14.45" customHeight="1" x14ac:dyDescent="0.25">
      <c r="A6" s="4" t="s">
        <v>12</v>
      </c>
      <c r="B6" s="2">
        <v>1492745</v>
      </c>
      <c r="C6" s="2">
        <f t="shared" si="0"/>
        <v>0</v>
      </c>
      <c r="D6" s="2">
        <f t="shared" si="1"/>
        <v>1492745</v>
      </c>
    </row>
    <row r="7" spans="1:5" ht="14.45" customHeight="1" x14ac:dyDescent="0.25">
      <c r="A7" s="4" t="s">
        <v>11</v>
      </c>
      <c r="B7" s="2">
        <v>1516113</v>
      </c>
      <c r="C7" s="2">
        <f t="shared" si="0"/>
        <v>0</v>
      </c>
      <c r="D7" s="2">
        <f t="shared" si="1"/>
        <v>1516113</v>
      </c>
    </row>
    <row r="8" spans="1:5" ht="14.45" customHeight="1" x14ac:dyDescent="0.25">
      <c r="A8" s="4" t="s">
        <v>10</v>
      </c>
      <c r="B8" s="2">
        <v>1645727</v>
      </c>
      <c r="C8" s="2">
        <f t="shared" si="0"/>
        <v>0</v>
      </c>
      <c r="D8" s="2">
        <f t="shared" si="1"/>
        <v>1645727</v>
      </c>
    </row>
    <row r="9" spans="1:5" ht="14.45" customHeight="1" x14ac:dyDescent="0.25">
      <c r="A9" s="4" t="s">
        <v>9</v>
      </c>
      <c r="B9" s="2">
        <v>1933105</v>
      </c>
      <c r="C9" s="2">
        <f t="shared" si="0"/>
        <v>0</v>
      </c>
      <c r="D9" s="2">
        <f t="shared" si="1"/>
        <v>1933105</v>
      </c>
    </row>
    <row r="10" spans="1:5" ht="14.45" customHeight="1" x14ac:dyDescent="0.25">
      <c r="A10" s="4" t="s">
        <v>8</v>
      </c>
      <c r="B10" s="2">
        <v>2182763</v>
      </c>
      <c r="C10" s="2">
        <f t="shared" si="0"/>
        <v>0</v>
      </c>
      <c r="D10" s="2">
        <f t="shared" si="1"/>
        <v>2182763</v>
      </c>
    </row>
    <row r="11" spans="1:5" ht="14.45" customHeight="1" x14ac:dyDescent="0.25">
      <c r="A11" s="4" t="s">
        <v>7</v>
      </c>
      <c r="B11" s="2">
        <v>2512070</v>
      </c>
      <c r="C11" s="2">
        <f t="shared" si="0"/>
        <v>0</v>
      </c>
      <c r="D11" s="2">
        <f t="shared" si="1"/>
        <v>2512070</v>
      </c>
    </row>
    <row r="12" spans="1:5" ht="14.45" customHeight="1" x14ac:dyDescent="0.25">
      <c r="A12" s="4" t="s">
        <v>6</v>
      </c>
      <c r="B12" s="2">
        <v>2669342</v>
      </c>
      <c r="C12" s="2">
        <f t="shared" si="0"/>
        <v>0</v>
      </c>
      <c r="D12" s="2">
        <f t="shared" si="1"/>
        <v>2669342</v>
      </c>
    </row>
    <row r="13" spans="1:5" ht="14.45" customHeight="1" x14ac:dyDescent="0.25">
      <c r="A13" s="4" t="s">
        <v>5</v>
      </c>
      <c r="B13" s="2">
        <v>2872347</v>
      </c>
      <c r="C13" s="2">
        <f t="shared" si="0"/>
        <v>0</v>
      </c>
      <c r="D13" s="2">
        <f t="shared" si="1"/>
        <v>2872347</v>
      </c>
    </row>
    <row r="14" spans="1:5" ht="14.45" customHeight="1" x14ac:dyDescent="0.25">
      <c r="A14" s="4" t="s">
        <v>4</v>
      </c>
      <c r="B14" s="2">
        <v>3015268</v>
      </c>
      <c r="C14" s="2">
        <f t="shared" si="0"/>
        <v>3015268</v>
      </c>
      <c r="D14" s="2">
        <f t="shared" si="1"/>
        <v>0</v>
      </c>
    </row>
    <row r="15" spans="1:5" ht="14.45" customHeight="1" x14ac:dyDescent="0.25">
      <c r="A15" s="4" t="s">
        <v>3</v>
      </c>
      <c r="B15" s="2">
        <v>6718903</v>
      </c>
      <c r="C15" s="2">
        <f t="shared" si="0"/>
        <v>6718903</v>
      </c>
      <c r="D15" s="2">
        <f t="shared" si="1"/>
        <v>0</v>
      </c>
    </row>
    <row r="16" spans="1:5" ht="14.45" customHeight="1" x14ac:dyDescent="0.25">
      <c r="A16" s="4" t="s">
        <v>2</v>
      </c>
      <c r="B16" s="2">
        <v>12252023</v>
      </c>
      <c r="C16" s="2">
        <f t="shared" si="0"/>
        <v>12252023</v>
      </c>
      <c r="D16" s="2">
        <f t="shared" si="1"/>
        <v>0</v>
      </c>
    </row>
    <row r="17" spans="1:2" ht="14.45" customHeight="1" x14ac:dyDescent="0.25">
      <c r="A17" s="4"/>
      <c r="B17" s="2"/>
    </row>
    <row r="18" spans="1:2" ht="14.45" customHeight="1" x14ac:dyDescent="0.25">
      <c r="A18" s="6" t="s">
        <v>17</v>
      </c>
      <c r="B18" s="7">
        <v>3000000</v>
      </c>
    </row>
    <row r="19" spans="1:2" ht="14.45" customHeight="1" x14ac:dyDescent="0.25">
      <c r="A19" s="4"/>
      <c r="B19" s="2"/>
    </row>
  </sheetData>
  <autoFilter ref="A1:B1" xr:uid="{0A616C5C-3590-410C-8941-DACB5864392B}">
    <sortState xmlns:xlrd2="http://schemas.microsoft.com/office/spreadsheetml/2017/richdata2" ref="A2:B16">
      <sortCondition ref="B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Barra_Gabarito</vt:lpstr>
      <vt:lpstr>Barra_Zero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Ferreira Martins</dc:creator>
  <cp:lastModifiedBy>Filipe Augusto</cp:lastModifiedBy>
  <dcterms:created xsi:type="dcterms:W3CDTF">2020-09-16T17:17:54Z</dcterms:created>
  <dcterms:modified xsi:type="dcterms:W3CDTF">2025-11-17T19:29:18Z</dcterms:modified>
</cp:coreProperties>
</file>