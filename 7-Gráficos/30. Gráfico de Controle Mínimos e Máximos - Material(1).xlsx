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cursos\excel\7-Gráficos\"/>
    </mc:Choice>
  </mc:AlternateContent>
  <xr:revisionPtr revIDLastSave="0" documentId="13_ncr:1_{672ADE9E-F504-4EFD-A924-037E6DAE757C}" xr6:coauthVersionLast="47" xr6:coauthVersionMax="47" xr10:uidLastSave="{00000000-0000-0000-0000-000000000000}"/>
  <bookViews>
    <workbookView xWindow="-120" yWindow="-120" windowWidth="20730" windowHeight="11160" xr2:uid="{C43EEEF4-D6CC-4C7C-A732-BF3BE2D1F75F}"/>
  </bookViews>
  <sheets>
    <sheet name="GraficoControle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" i="2" l="1"/>
  <c r="E3" i="2"/>
  <c r="E4" i="2"/>
  <c r="E5" i="2"/>
  <c r="E6" i="2"/>
  <c r="E7" i="2"/>
  <c r="E8" i="2"/>
  <c r="E9" i="2"/>
  <c r="E10" i="2"/>
  <c r="E11" i="2"/>
  <c r="E12" i="2"/>
  <c r="E13" i="2"/>
  <c r="E2" i="2"/>
  <c r="D3" i="2"/>
  <c r="F3" i="2" s="1"/>
  <c r="D4" i="2"/>
  <c r="F4" i="2" s="1"/>
  <c r="D5" i="2"/>
  <c r="F5" i="2" s="1"/>
  <c r="D6" i="2"/>
  <c r="F6" i="2" s="1"/>
  <c r="D7" i="2"/>
  <c r="F7" i="2" s="1"/>
  <c r="D8" i="2"/>
  <c r="F8" i="2" s="1"/>
  <c r="D9" i="2"/>
  <c r="D10" i="2"/>
  <c r="F10" i="2" s="1"/>
  <c r="D11" i="2"/>
  <c r="F11" i="2" s="1"/>
  <c r="D12" i="2"/>
  <c r="F12" i="2" s="1"/>
  <c r="D13" i="2"/>
  <c r="F13" i="2" s="1"/>
  <c r="C3" i="2"/>
  <c r="C4" i="2"/>
  <c r="C5" i="2"/>
  <c r="C6" i="2"/>
  <c r="C7" i="2"/>
  <c r="C8" i="2"/>
  <c r="C9" i="2"/>
  <c r="C10" i="2"/>
  <c r="C11" i="2"/>
  <c r="C12" i="2"/>
  <c r="C13" i="2"/>
  <c r="D2" i="2"/>
  <c r="F2" i="2" s="1"/>
  <c r="C2" i="2"/>
  <c r="F7" i="1"/>
  <c r="F2" i="1"/>
  <c r="D3" i="1"/>
  <c r="F3" i="1" s="1"/>
  <c r="D4" i="1"/>
  <c r="F4" i="1" s="1"/>
  <c r="D5" i="1"/>
  <c r="F5" i="1" s="1"/>
  <c r="D6" i="1"/>
  <c r="F6" i="1" s="1"/>
  <c r="D7" i="1"/>
  <c r="D8" i="1"/>
  <c r="F8" i="1" s="1"/>
  <c r="D9" i="1"/>
  <c r="F9" i="1" s="1"/>
  <c r="D10" i="1"/>
  <c r="F10" i="1" s="1"/>
  <c r="D11" i="1"/>
  <c r="F11" i="1" s="1"/>
  <c r="D12" i="1"/>
  <c r="F12" i="1" s="1"/>
  <c r="D13" i="1"/>
  <c r="F13" i="1" s="1"/>
  <c r="D2" i="1"/>
  <c r="C3" i="1"/>
  <c r="E3" i="1" s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2" i="1"/>
  <c r="E2" i="1" s="1"/>
</calcChain>
</file>

<file path=xl/sharedStrings.xml><?xml version="1.0" encoding="utf-8"?>
<sst xmlns="http://schemas.openxmlformats.org/spreadsheetml/2006/main" count="16" uniqueCount="12">
  <si>
    <t>Data</t>
  </si>
  <si>
    <t>Estoque</t>
  </si>
  <si>
    <t>LimMáx</t>
  </si>
  <si>
    <t>LimMín</t>
  </si>
  <si>
    <t>AlertaMín</t>
  </si>
  <si>
    <t>AletaMáx</t>
  </si>
  <si>
    <t>LimiteMín</t>
  </si>
  <si>
    <t>LimiteMáx</t>
  </si>
  <si>
    <t>Mínimo</t>
  </si>
  <si>
    <t>Máximo</t>
  </si>
  <si>
    <t>LimMin</t>
  </si>
  <si>
    <t>LimMax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</si>
</sst>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D6D"/>
        <bgColor indexed="64"/>
      </patternFill>
    </fill>
    <fill>
      <patternFill patternType="solid">
        <fgColor rgb="FF93FFC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17" fontId="0" fillId="2" borderId="0" xfId="0" applyNumberFormat="1" applyFill="1" applyAlignment="1">
      <alignment horizontal="left"/>
    </xf>
    <xf numFmtId="3" fontId="0" fillId="2" borderId="0" xfId="0" applyNumberFormat="1" applyFill="1" applyAlignment="1">
      <alignment horizontal="left"/>
    </xf>
    <xf numFmtId="17" fontId="0" fillId="3" borderId="0" xfId="0" applyNumberFormat="1" applyFill="1" applyAlignment="1">
      <alignment horizontal="left"/>
    </xf>
    <xf numFmtId="3" fontId="0" fillId="3" borderId="0" xfId="0" applyNumberFormat="1" applyFill="1" applyAlignment="1">
      <alignment horizontal="left"/>
    </xf>
    <xf numFmtId="0" fontId="0" fillId="0" borderId="0" xfId="0" applyFont="1" applyFill="1" applyAlignment="1">
      <alignment horizontal="left"/>
    </xf>
    <xf numFmtId="17" fontId="0" fillId="0" borderId="0" xfId="0" applyNumberFormat="1" applyFont="1" applyFill="1" applyAlignment="1">
      <alignment horizontal="left"/>
    </xf>
    <xf numFmtId="3" fontId="0" fillId="0" borderId="0" xfId="0" applyNumberFormat="1" applyFont="1" applyFill="1" applyAlignment="1">
      <alignment horizontal="left"/>
    </xf>
    <xf numFmtId="3" fontId="0" fillId="4" borderId="0" xfId="0" applyNumberFormat="1" applyFill="1" applyAlignment="1">
      <alignment horizontal="left"/>
    </xf>
    <xf numFmtId="3" fontId="0" fillId="5" borderId="0" xfId="0" applyNumberForma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3FFC4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GraficoControle!$B$1</c:f>
              <c:strCache>
                <c:ptCount val="1"/>
                <c:pt idx="0">
                  <c:v>Estoque</c:v>
                </c:pt>
              </c:strCache>
            </c:strRef>
          </c:tx>
          <c:spPr>
            <a:ln w="3175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lumMod val="95000"/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GraficoControle!$A$2:$A$13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GraficoControle!$B$2:$B$13</c:f>
              <c:numCache>
                <c:formatCode>#,##0</c:formatCode>
                <c:ptCount val="12"/>
                <c:pt idx="0">
                  <c:v>4800</c:v>
                </c:pt>
                <c:pt idx="1">
                  <c:v>7284</c:v>
                </c:pt>
                <c:pt idx="2">
                  <c:v>1840</c:v>
                </c:pt>
                <c:pt idx="3">
                  <c:v>4530</c:v>
                </c:pt>
                <c:pt idx="4">
                  <c:v>3241</c:v>
                </c:pt>
                <c:pt idx="5">
                  <c:v>8456</c:v>
                </c:pt>
                <c:pt idx="6">
                  <c:v>4114</c:v>
                </c:pt>
                <c:pt idx="7">
                  <c:v>2801</c:v>
                </c:pt>
                <c:pt idx="8">
                  <c:v>7772</c:v>
                </c:pt>
                <c:pt idx="9">
                  <c:v>9145</c:v>
                </c:pt>
                <c:pt idx="10">
                  <c:v>3789</c:v>
                </c:pt>
                <c:pt idx="11">
                  <c:v>4211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C9-4C45-898C-A6C62A60587F}"/>
            </c:ext>
          </c:extLst>
        </c:ser>
        <c:ser>
          <c:idx val="1"/>
          <c:order val="1"/>
          <c:tx>
            <c:strRef>
              <c:f>GraficoControle!$C$1</c:f>
              <c:strCache>
                <c:ptCount val="1"/>
                <c:pt idx="0">
                  <c:v>LimMín</c:v>
                </c:pt>
              </c:strCache>
            </c:strRef>
          </c:tx>
          <c:spPr>
            <a:ln w="3175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GraficoControle!$A$2:$A$13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GraficoControle!$C$2:$C$13</c:f>
              <c:numCache>
                <c:formatCode>#,##0</c:formatCode>
                <c:ptCount val="12"/>
                <c:pt idx="0">
                  <c:v>3000</c:v>
                </c:pt>
                <c:pt idx="1">
                  <c:v>3000</c:v>
                </c:pt>
                <c:pt idx="2">
                  <c:v>3000</c:v>
                </c:pt>
                <c:pt idx="3">
                  <c:v>3000</c:v>
                </c:pt>
                <c:pt idx="4">
                  <c:v>3000</c:v>
                </c:pt>
                <c:pt idx="5">
                  <c:v>3000</c:v>
                </c:pt>
                <c:pt idx="6">
                  <c:v>3000</c:v>
                </c:pt>
                <c:pt idx="7">
                  <c:v>3000</c:v>
                </c:pt>
                <c:pt idx="8">
                  <c:v>3000</c:v>
                </c:pt>
                <c:pt idx="9">
                  <c:v>3000</c:v>
                </c:pt>
                <c:pt idx="10">
                  <c:v>3000</c:v>
                </c:pt>
                <c:pt idx="11">
                  <c:v>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C9-4C45-898C-A6C62A60587F}"/>
            </c:ext>
          </c:extLst>
        </c:ser>
        <c:ser>
          <c:idx val="2"/>
          <c:order val="2"/>
          <c:tx>
            <c:strRef>
              <c:f>GraficoControle!$D$1</c:f>
              <c:strCache>
                <c:ptCount val="1"/>
                <c:pt idx="0">
                  <c:v>LimMáx</c:v>
                </c:pt>
              </c:strCache>
            </c:strRef>
          </c:tx>
          <c:spPr>
            <a:ln w="31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GraficoControle!$A$2:$A$13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GraficoControle!$D$2:$D$13</c:f>
              <c:numCache>
                <c:formatCode>#,##0</c:formatCode>
                <c:ptCount val="12"/>
                <c:pt idx="0">
                  <c:v>8000</c:v>
                </c:pt>
                <c:pt idx="1">
                  <c:v>8000</c:v>
                </c:pt>
                <c:pt idx="2">
                  <c:v>8000</c:v>
                </c:pt>
                <c:pt idx="3">
                  <c:v>8000</c:v>
                </c:pt>
                <c:pt idx="4">
                  <c:v>8000</c:v>
                </c:pt>
                <c:pt idx="5">
                  <c:v>8000</c:v>
                </c:pt>
                <c:pt idx="6">
                  <c:v>8000</c:v>
                </c:pt>
                <c:pt idx="7">
                  <c:v>8000</c:v>
                </c:pt>
                <c:pt idx="8">
                  <c:v>8000</c:v>
                </c:pt>
                <c:pt idx="9">
                  <c:v>8000</c:v>
                </c:pt>
                <c:pt idx="10">
                  <c:v>8000</c:v>
                </c:pt>
                <c:pt idx="11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C9-4C45-898C-A6C62A60587F}"/>
            </c:ext>
          </c:extLst>
        </c:ser>
        <c:ser>
          <c:idx val="3"/>
          <c:order val="3"/>
          <c:tx>
            <c:strRef>
              <c:f>GraficoControle!$E$1</c:f>
              <c:strCache>
                <c:ptCount val="1"/>
                <c:pt idx="0">
                  <c:v>AlertaMín</c:v>
                </c:pt>
              </c:strCache>
            </c:strRef>
          </c:tx>
          <c:spPr>
            <a:ln w="28575" cap="rnd">
              <a:noFill/>
              <a:round/>
            </a:ln>
            <a:effectLst>
              <a:glow rad="25400">
                <a:srgbClr val="FF0000">
                  <a:alpha val="40000"/>
                </a:srgbClr>
              </a:glow>
            </a:effectLst>
          </c:spPr>
          <c:marker>
            <c:symbol val="circle"/>
            <c:size val="6"/>
            <c:spPr>
              <a:solidFill>
                <a:schemeClr val="bg1"/>
              </a:solidFill>
              <a:ln w="9525">
                <a:solidFill>
                  <a:srgbClr val="FF0000"/>
                </a:solidFill>
              </a:ln>
              <a:effectLst>
                <a:glow rad="25400">
                  <a:srgbClr val="FF0000">
                    <a:alpha val="40000"/>
                  </a:srgbClr>
                </a:glow>
              </a:effectLst>
            </c:spPr>
          </c:marker>
          <c:cat>
            <c:numRef>
              <c:f>GraficoControle!$A$2:$A$13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GraficoControle!$E$2:$E$13</c:f>
              <c:numCache>
                <c:formatCode>#,##0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1840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2801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1C9-4C45-898C-A6C62A60587F}"/>
            </c:ext>
          </c:extLst>
        </c:ser>
        <c:ser>
          <c:idx val="4"/>
          <c:order val="4"/>
          <c:tx>
            <c:strRef>
              <c:f>GraficoControle!$F$1</c:f>
              <c:strCache>
                <c:ptCount val="1"/>
                <c:pt idx="0">
                  <c:v>AletaMáx</c:v>
                </c:pt>
              </c:strCache>
            </c:strRef>
          </c:tx>
          <c:spPr>
            <a:ln w="28575" cap="rnd">
              <a:noFill/>
              <a:round/>
            </a:ln>
            <a:effectLst>
              <a:glow rad="25400">
                <a:srgbClr val="00B050">
                  <a:alpha val="40000"/>
                </a:srgbClr>
              </a:glow>
            </a:effectLst>
          </c:spPr>
          <c:marker>
            <c:symbol val="circle"/>
            <c:size val="7"/>
            <c:spPr>
              <a:pattFill prst="pct60">
                <a:fgClr>
                  <a:schemeClr val="bg1"/>
                </a:fgClr>
                <a:bgClr>
                  <a:schemeClr val="bg1"/>
                </a:bgClr>
              </a:pattFill>
              <a:ln w="9525" cmpd="sng">
                <a:solidFill>
                  <a:srgbClr val="00B050"/>
                </a:solidFill>
              </a:ln>
              <a:effectLst>
                <a:glow rad="25400">
                  <a:srgbClr val="00B050">
                    <a:alpha val="40000"/>
                  </a:srgbClr>
                </a:glow>
              </a:effectLst>
            </c:spPr>
          </c:marker>
          <c:cat>
            <c:numRef>
              <c:f>GraficoControle!$A$2:$A$13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GraficoControle!$F$2:$F$13</c:f>
              <c:numCache>
                <c:formatCode>#,##0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8456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9145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1C9-4C45-898C-A6C62A6058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1967616"/>
        <c:axId val="811968032"/>
      </c:lineChart>
      <c:dateAx>
        <c:axId val="8119676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1968032"/>
        <c:crosses val="autoZero"/>
        <c:auto val="1"/>
        <c:lblOffset val="100"/>
        <c:baseTimeUnit val="months"/>
      </c:dateAx>
      <c:valAx>
        <c:axId val="811968032"/>
        <c:scaling>
          <c:orientation val="minMax"/>
          <c:max val="10000"/>
          <c:min val="1500"/>
        </c:scaling>
        <c:delete val="1"/>
        <c:axPos val="l"/>
        <c:numFmt formatCode="#,##0" sourceLinked="1"/>
        <c:majorTickMark val="out"/>
        <c:minorTickMark val="none"/>
        <c:tickLblPos val="nextTo"/>
        <c:crossAx val="81196761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Planilha1!$B$1</c:f>
              <c:strCache>
                <c:ptCount val="1"/>
                <c:pt idx="0">
                  <c:v>Estoque</c:v>
                </c:pt>
              </c:strCache>
            </c:strRef>
          </c:tx>
          <c:spPr>
            <a:ln w="9525" cap="rnd">
              <a:solidFill>
                <a:schemeClr val="tx1"/>
              </a:solidFill>
              <a:round/>
              <a:tailEnd w="sm" len="sm"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Planilha1!$A$2:$A$13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Planilha1!$B$2:$B$13</c:f>
              <c:numCache>
                <c:formatCode>#,##0</c:formatCode>
                <c:ptCount val="12"/>
                <c:pt idx="0">
                  <c:v>4800</c:v>
                </c:pt>
                <c:pt idx="1">
                  <c:v>7284</c:v>
                </c:pt>
                <c:pt idx="2">
                  <c:v>1840</c:v>
                </c:pt>
                <c:pt idx="3">
                  <c:v>4530</c:v>
                </c:pt>
                <c:pt idx="4">
                  <c:v>3241</c:v>
                </c:pt>
                <c:pt idx="5">
                  <c:v>8456</c:v>
                </c:pt>
                <c:pt idx="6">
                  <c:v>4114</c:v>
                </c:pt>
                <c:pt idx="7">
                  <c:v>2801</c:v>
                </c:pt>
                <c:pt idx="8">
                  <c:v>7772</c:v>
                </c:pt>
                <c:pt idx="9">
                  <c:v>9145</c:v>
                </c:pt>
                <c:pt idx="10">
                  <c:v>3789</c:v>
                </c:pt>
                <c:pt idx="11">
                  <c:v>4211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47-423F-83AA-F5D4EEF5AA62}"/>
            </c:ext>
          </c:extLst>
        </c:ser>
        <c:ser>
          <c:idx val="1"/>
          <c:order val="1"/>
          <c:tx>
            <c:strRef>
              <c:f>Planilha1!$C$1</c:f>
              <c:strCache>
                <c:ptCount val="1"/>
                <c:pt idx="0">
                  <c:v>Mínimo</c:v>
                </c:pt>
              </c:strCache>
            </c:strRef>
          </c:tx>
          <c:spPr>
            <a:ln w="635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Planilha1!$A$2:$A$13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Planilha1!$C$2:$C$13</c:f>
              <c:numCache>
                <c:formatCode>#,##0</c:formatCode>
                <c:ptCount val="12"/>
                <c:pt idx="0">
                  <c:v>4000</c:v>
                </c:pt>
                <c:pt idx="1">
                  <c:v>4000</c:v>
                </c:pt>
                <c:pt idx="2">
                  <c:v>4000</c:v>
                </c:pt>
                <c:pt idx="3">
                  <c:v>4000</c:v>
                </c:pt>
                <c:pt idx="4">
                  <c:v>4000</c:v>
                </c:pt>
                <c:pt idx="5">
                  <c:v>4000</c:v>
                </c:pt>
                <c:pt idx="6">
                  <c:v>4000</c:v>
                </c:pt>
                <c:pt idx="7">
                  <c:v>4000</c:v>
                </c:pt>
                <c:pt idx="8">
                  <c:v>4000</c:v>
                </c:pt>
                <c:pt idx="9">
                  <c:v>4000</c:v>
                </c:pt>
                <c:pt idx="10">
                  <c:v>4000</c:v>
                </c:pt>
                <c:pt idx="11">
                  <c:v>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47-423F-83AA-F5D4EEF5AA62}"/>
            </c:ext>
          </c:extLst>
        </c:ser>
        <c:ser>
          <c:idx val="2"/>
          <c:order val="2"/>
          <c:tx>
            <c:strRef>
              <c:f>Planilha1!$D$1</c:f>
              <c:strCache>
                <c:ptCount val="1"/>
                <c:pt idx="0">
                  <c:v>Máximo</c:v>
                </c:pt>
              </c:strCache>
            </c:strRef>
          </c:tx>
          <c:spPr>
            <a:ln w="6350" cap="rnd">
              <a:solidFill>
                <a:srgbClr val="93FFC4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Planilha1!$A$2:$A$13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Planilha1!$D$2:$D$13</c:f>
              <c:numCache>
                <c:formatCode>#,##0</c:formatCode>
                <c:ptCount val="12"/>
                <c:pt idx="0">
                  <c:v>7000</c:v>
                </c:pt>
                <c:pt idx="1">
                  <c:v>7000</c:v>
                </c:pt>
                <c:pt idx="2">
                  <c:v>7000</c:v>
                </c:pt>
                <c:pt idx="3">
                  <c:v>7000</c:v>
                </c:pt>
                <c:pt idx="4">
                  <c:v>7000</c:v>
                </c:pt>
                <c:pt idx="5">
                  <c:v>7000</c:v>
                </c:pt>
                <c:pt idx="6">
                  <c:v>7000</c:v>
                </c:pt>
                <c:pt idx="7">
                  <c:v>7000</c:v>
                </c:pt>
                <c:pt idx="8">
                  <c:v>7000</c:v>
                </c:pt>
                <c:pt idx="9">
                  <c:v>7000</c:v>
                </c:pt>
                <c:pt idx="10">
                  <c:v>7000</c:v>
                </c:pt>
                <c:pt idx="11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47-423F-83AA-F5D4EEF5AA62}"/>
            </c:ext>
          </c:extLst>
        </c:ser>
        <c:ser>
          <c:idx val="3"/>
          <c:order val="3"/>
          <c:tx>
            <c:strRef>
              <c:f>Planilha1!$E$1</c:f>
              <c:strCache>
                <c:ptCount val="1"/>
                <c:pt idx="0">
                  <c:v>LimMin</c:v>
                </c:pt>
              </c:strCache>
            </c:strRef>
          </c:tx>
          <c:spPr>
            <a:ln w="28575" cap="rnd">
              <a:noFill/>
              <a:round/>
            </a:ln>
            <a:effectLst>
              <a:glow rad="63500">
                <a:srgbClr val="FF0000">
                  <a:alpha val="40000"/>
                </a:srgbClr>
              </a:glow>
            </a:effectLst>
          </c:spPr>
          <c:marker>
            <c:symbol val="circle"/>
            <c:size val="12"/>
            <c:spPr>
              <a:noFill/>
              <a:ln w="25400">
                <a:solidFill>
                  <a:srgbClr val="FF0000"/>
                </a:solidFill>
              </a:ln>
              <a:effectLst>
                <a:glow rad="63500">
                  <a:srgbClr val="FF0000">
                    <a:alpha val="40000"/>
                  </a:srgbClr>
                </a:glow>
              </a:effectLst>
            </c:spPr>
          </c:marker>
          <c:dLbls>
            <c:delete val="1"/>
          </c:dLbls>
          <c:cat>
            <c:numRef>
              <c:f>Planilha1!$A$2:$A$13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Planilha1!$E$2:$E$13</c:f>
              <c:numCache>
                <c:formatCode>#,##0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1840</c:v>
                </c:pt>
                <c:pt idx="3">
                  <c:v>#N/A</c:v>
                </c:pt>
                <c:pt idx="4">
                  <c:v>3241</c:v>
                </c:pt>
                <c:pt idx="5">
                  <c:v>#N/A</c:v>
                </c:pt>
                <c:pt idx="6">
                  <c:v>#N/A</c:v>
                </c:pt>
                <c:pt idx="7">
                  <c:v>2801</c:v>
                </c:pt>
                <c:pt idx="8">
                  <c:v>#N/A</c:v>
                </c:pt>
                <c:pt idx="9">
                  <c:v>#N/A</c:v>
                </c:pt>
                <c:pt idx="10">
                  <c:v>3789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47-423F-83AA-F5D4EEF5AA62}"/>
            </c:ext>
          </c:extLst>
        </c:ser>
        <c:ser>
          <c:idx val="4"/>
          <c:order val="4"/>
          <c:tx>
            <c:strRef>
              <c:f>Planilha1!$F$1</c:f>
              <c:strCache>
                <c:ptCount val="1"/>
                <c:pt idx="0">
                  <c:v>LimMax</c:v>
                </c:pt>
              </c:strCache>
            </c:strRef>
          </c:tx>
          <c:spPr>
            <a:ln w="28575" cap="rnd">
              <a:noFill/>
              <a:round/>
            </a:ln>
            <a:effectLst>
              <a:glow rad="63500">
                <a:srgbClr val="93FFC4">
                  <a:alpha val="40000"/>
                </a:srgbClr>
              </a:glow>
            </a:effectLst>
          </c:spPr>
          <c:marker>
            <c:symbol val="circle"/>
            <c:size val="12"/>
            <c:spPr>
              <a:noFill/>
              <a:ln w="25400">
                <a:solidFill>
                  <a:srgbClr val="93FFC4"/>
                </a:solidFill>
              </a:ln>
              <a:effectLst>
                <a:glow rad="63500">
                  <a:srgbClr val="93FFC4">
                    <a:alpha val="40000"/>
                  </a:srgbClr>
                </a:glow>
              </a:effectLst>
            </c:spPr>
          </c:marker>
          <c:dLbls>
            <c:delete val="1"/>
          </c:dLbls>
          <c:cat>
            <c:numRef>
              <c:f>Planilha1!$A$2:$A$13</c:f>
              <c:numCache>
                <c:formatCode>mmm\-yy</c:formatCode>
                <c:ptCount val="12"/>
                <c:pt idx="0">
                  <c:v>43831</c:v>
                </c:pt>
                <c:pt idx="1">
                  <c:v>43862</c:v>
                </c:pt>
                <c:pt idx="2">
                  <c:v>43891</c:v>
                </c:pt>
                <c:pt idx="3">
                  <c:v>43922</c:v>
                </c:pt>
                <c:pt idx="4">
                  <c:v>43952</c:v>
                </c:pt>
                <c:pt idx="5">
                  <c:v>43983</c:v>
                </c:pt>
                <c:pt idx="6">
                  <c:v>44013</c:v>
                </c:pt>
                <c:pt idx="7">
                  <c:v>44044</c:v>
                </c:pt>
                <c:pt idx="8">
                  <c:v>44075</c:v>
                </c:pt>
                <c:pt idx="9">
                  <c:v>44105</c:v>
                </c:pt>
                <c:pt idx="10">
                  <c:v>44136</c:v>
                </c:pt>
                <c:pt idx="11">
                  <c:v>44166</c:v>
                </c:pt>
              </c:numCache>
            </c:numRef>
          </c:cat>
          <c:val>
            <c:numRef>
              <c:f>Planilha1!$F$2:$F$13</c:f>
              <c:numCache>
                <c:formatCode>#,##0</c:formatCode>
                <c:ptCount val="12"/>
                <c:pt idx="0">
                  <c:v>#N/A</c:v>
                </c:pt>
                <c:pt idx="1">
                  <c:v>7284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8456</c:v>
                </c:pt>
                <c:pt idx="6">
                  <c:v>#N/A</c:v>
                </c:pt>
                <c:pt idx="7">
                  <c:v>#N/A</c:v>
                </c:pt>
                <c:pt idx="8">
                  <c:v>7772</c:v>
                </c:pt>
                <c:pt idx="9">
                  <c:v>9145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47-423F-83AA-F5D4EEF5AA6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334845600"/>
        <c:axId val="334846560"/>
      </c:lineChart>
      <c:dateAx>
        <c:axId val="33484560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846560"/>
        <c:crosses val="autoZero"/>
        <c:auto val="1"/>
        <c:lblOffset val="100"/>
        <c:baseTimeUnit val="months"/>
      </c:dateAx>
      <c:valAx>
        <c:axId val="33484656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33484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6" fmlaLink="$B$15" inc="500" max="9000" min="1000" page="10" val="3000"/>
</file>

<file path=xl/ctrlProps/ctrlProp2.xml><?xml version="1.0" encoding="utf-8"?>
<formControlPr xmlns="http://schemas.microsoft.com/office/spreadsheetml/2009/9/main" objectType="Spin" dx="26" fmlaLink="$B$16" inc="500" max="9000" min="1000" page="10" val="800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89338</xdr:colOff>
      <xdr:row>0</xdr:row>
      <xdr:rowOff>73477</xdr:rowOff>
    </xdr:from>
    <xdr:to>
      <xdr:col>16</xdr:col>
      <xdr:colOff>598714</xdr:colOff>
      <xdr:row>16</xdr:row>
      <xdr:rowOff>52551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514350</xdr:colOff>
          <xdr:row>14</xdr:row>
          <xdr:rowOff>0</xdr:rowOff>
        </xdr:from>
        <xdr:to>
          <xdr:col>2</xdr:col>
          <xdr:colOff>0</xdr:colOff>
          <xdr:row>15</xdr:row>
          <xdr:rowOff>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514350</xdr:colOff>
          <xdr:row>15</xdr:row>
          <xdr:rowOff>0</xdr:rowOff>
        </xdr:from>
        <xdr:to>
          <xdr:col>1</xdr:col>
          <xdr:colOff>723900</xdr:colOff>
          <xdr:row>16</xdr:row>
          <xdr:rowOff>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123598</xdr:colOff>
      <xdr:row>0</xdr:row>
      <xdr:rowOff>63952</xdr:rowOff>
    </xdr:from>
    <xdr:to>
      <xdr:col>16</xdr:col>
      <xdr:colOff>103188</xdr:colOff>
      <xdr:row>16</xdr:row>
      <xdr:rowOff>87313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AAA1FB-0BC8-1A22-9078-95D6D6C146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7B29-1A60-463F-800D-8EDCE5C96285}">
  <dimension ref="A1:F36"/>
  <sheetViews>
    <sheetView showGridLines="0" tabSelected="1" topLeftCell="A7" zoomScale="140" zoomScaleNormal="140" workbookViewId="0">
      <selection activeCell="G16" sqref="G16"/>
    </sheetView>
  </sheetViews>
  <sheetFormatPr defaultRowHeight="15" x14ac:dyDescent="0.25"/>
  <cols>
    <col min="1" max="2" width="10.5703125" customWidth="1"/>
    <col min="3" max="5" width="10.5703125" hidden="1" customWidth="1"/>
    <col min="6" max="6" width="10.5703125" customWidth="1"/>
    <col min="7" max="7" width="8.85546875" customWidth="1"/>
  </cols>
  <sheetData>
    <row r="1" spans="1:6" x14ac:dyDescent="0.25">
      <c r="A1" s="8" t="s">
        <v>0</v>
      </c>
      <c r="B1" s="8" t="s">
        <v>1</v>
      </c>
      <c r="C1" s="1" t="s">
        <v>3</v>
      </c>
      <c r="D1" s="1" t="s">
        <v>2</v>
      </c>
      <c r="E1" s="1" t="s">
        <v>4</v>
      </c>
      <c r="F1" s="1" t="s">
        <v>5</v>
      </c>
    </row>
    <row r="2" spans="1:6" x14ac:dyDescent="0.25">
      <c r="A2" s="9">
        <v>43831</v>
      </c>
      <c r="B2" s="10">
        <v>4800</v>
      </c>
      <c r="C2" s="3">
        <f>$B$15</f>
        <v>3000</v>
      </c>
      <c r="D2" s="3">
        <f t="shared" ref="D2:D13" si="0">$B$16</f>
        <v>8000</v>
      </c>
      <c r="E2" s="3" t="e">
        <f>IF(B2&gt;C2,#N/A,B2)</f>
        <v>#N/A</v>
      </c>
      <c r="F2" s="3" t="e">
        <f>IF(B2&gt;D2,B2,#N/A)</f>
        <v>#N/A</v>
      </c>
    </row>
    <row r="3" spans="1:6" x14ac:dyDescent="0.25">
      <c r="A3" s="9">
        <v>43862</v>
      </c>
      <c r="B3" s="10">
        <v>7284</v>
      </c>
      <c r="C3" s="3">
        <f t="shared" ref="C3:C13" si="1">$B$15</f>
        <v>3000</v>
      </c>
      <c r="D3" s="3">
        <f t="shared" si="0"/>
        <v>8000</v>
      </c>
      <c r="E3" s="3" t="e">
        <f t="shared" ref="E3:E13" si="2">IF(B3&gt;C3,#N/A,B3)</f>
        <v>#N/A</v>
      </c>
      <c r="F3" s="3" t="e">
        <f t="shared" ref="F3:F13" si="3">IF(B3&gt;D3,B3,#N/A)</f>
        <v>#N/A</v>
      </c>
    </row>
    <row r="4" spans="1:6" x14ac:dyDescent="0.25">
      <c r="A4" s="9">
        <v>43891</v>
      </c>
      <c r="B4" s="10">
        <v>1840</v>
      </c>
      <c r="C4" s="3">
        <f t="shared" si="1"/>
        <v>3000</v>
      </c>
      <c r="D4" s="3">
        <f t="shared" si="0"/>
        <v>8000</v>
      </c>
      <c r="E4" s="3">
        <f t="shared" si="2"/>
        <v>1840</v>
      </c>
      <c r="F4" s="3" t="e">
        <f t="shared" si="3"/>
        <v>#N/A</v>
      </c>
    </row>
    <row r="5" spans="1:6" x14ac:dyDescent="0.25">
      <c r="A5" s="9">
        <v>43922</v>
      </c>
      <c r="B5" s="10">
        <v>4530</v>
      </c>
      <c r="C5" s="3">
        <f t="shared" si="1"/>
        <v>3000</v>
      </c>
      <c r="D5" s="3">
        <f t="shared" si="0"/>
        <v>8000</v>
      </c>
      <c r="E5" s="3" t="e">
        <f t="shared" si="2"/>
        <v>#N/A</v>
      </c>
      <c r="F5" s="3" t="e">
        <f t="shared" si="3"/>
        <v>#N/A</v>
      </c>
    </row>
    <row r="6" spans="1:6" x14ac:dyDescent="0.25">
      <c r="A6" s="9">
        <v>43952</v>
      </c>
      <c r="B6" s="10">
        <v>3241</v>
      </c>
      <c r="C6" s="3">
        <f t="shared" si="1"/>
        <v>3000</v>
      </c>
      <c r="D6" s="3">
        <f t="shared" si="0"/>
        <v>8000</v>
      </c>
      <c r="E6" s="3" t="e">
        <f t="shared" si="2"/>
        <v>#N/A</v>
      </c>
      <c r="F6" s="3" t="e">
        <f t="shared" si="3"/>
        <v>#N/A</v>
      </c>
    </row>
    <row r="7" spans="1:6" x14ac:dyDescent="0.25">
      <c r="A7" s="9">
        <v>43983</v>
      </c>
      <c r="B7" s="10">
        <v>8456</v>
      </c>
      <c r="C7" s="3">
        <f t="shared" si="1"/>
        <v>3000</v>
      </c>
      <c r="D7" s="3">
        <f t="shared" si="0"/>
        <v>8000</v>
      </c>
      <c r="E7" s="3" t="e">
        <f t="shared" si="2"/>
        <v>#N/A</v>
      </c>
      <c r="F7" s="3">
        <f>IF(B7&gt;D7,B7,#N/A)</f>
        <v>8456</v>
      </c>
    </row>
    <row r="8" spans="1:6" x14ac:dyDescent="0.25">
      <c r="A8" s="9">
        <v>44013</v>
      </c>
      <c r="B8" s="10">
        <v>4114</v>
      </c>
      <c r="C8" s="3">
        <f t="shared" si="1"/>
        <v>3000</v>
      </c>
      <c r="D8" s="3">
        <f t="shared" si="0"/>
        <v>8000</v>
      </c>
      <c r="E8" s="3" t="e">
        <f t="shared" si="2"/>
        <v>#N/A</v>
      </c>
      <c r="F8" s="3" t="e">
        <f t="shared" si="3"/>
        <v>#N/A</v>
      </c>
    </row>
    <row r="9" spans="1:6" x14ac:dyDescent="0.25">
      <c r="A9" s="9">
        <v>44044</v>
      </c>
      <c r="B9" s="10">
        <v>2801</v>
      </c>
      <c r="C9" s="3">
        <f t="shared" si="1"/>
        <v>3000</v>
      </c>
      <c r="D9" s="3">
        <f t="shared" si="0"/>
        <v>8000</v>
      </c>
      <c r="E9" s="3">
        <f t="shared" si="2"/>
        <v>2801</v>
      </c>
      <c r="F9" s="3" t="e">
        <f t="shared" si="3"/>
        <v>#N/A</v>
      </c>
    </row>
    <row r="10" spans="1:6" x14ac:dyDescent="0.25">
      <c r="A10" s="9">
        <v>44075</v>
      </c>
      <c r="B10" s="10">
        <v>7772</v>
      </c>
      <c r="C10" s="3">
        <f t="shared" si="1"/>
        <v>3000</v>
      </c>
      <c r="D10" s="3">
        <f t="shared" si="0"/>
        <v>8000</v>
      </c>
      <c r="E10" s="3" t="e">
        <f t="shared" si="2"/>
        <v>#N/A</v>
      </c>
      <c r="F10" s="3" t="e">
        <f t="shared" si="3"/>
        <v>#N/A</v>
      </c>
    </row>
    <row r="11" spans="1:6" x14ac:dyDescent="0.25">
      <c r="A11" s="9">
        <v>44105</v>
      </c>
      <c r="B11" s="10">
        <v>9145</v>
      </c>
      <c r="C11" s="3">
        <f t="shared" si="1"/>
        <v>3000</v>
      </c>
      <c r="D11" s="3">
        <f t="shared" si="0"/>
        <v>8000</v>
      </c>
      <c r="E11" s="3" t="e">
        <f t="shared" si="2"/>
        <v>#N/A</v>
      </c>
      <c r="F11" s="3">
        <f t="shared" si="3"/>
        <v>9145</v>
      </c>
    </row>
    <row r="12" spans="1:6" x14ac:dyDescent="0.25">
      <c r="A12" s="9">
        <v>44136</v>
      </c>
      <c r="B12" s="10">
        <v>3789</v>
      </c>
      <c r="C12" s="3">
        <f t="shared" si="1"/>
        <v>3000</v>
      </c>
      <c r="D12" s="3">
        <f t="shared" si="0"/>
        <v>8000</v>
      </c>
      <c r="E12" s="3" t="e">
        <f t="shared" si="2"/>
        <v>#N/A</v>
      </c>
      <c r="F12" s="3" t="e">
        <f t="shared" si="3"/>
        <v>#N/A</v>
      </c>
    </row>
    <row r="13" spans="1:6" x14ac:dyDescent="0.25">
      <c r="A13" s="9">
        <v>44166</v>
      </c>
      <c r="B13" s="10">
        <v>4211</v>
      </c>
      <c r="C13" s="3">
        <f t="shared" si="1"/>
        <v>3000</v>
      </c>
      <c r="D13" s="3">
        <f t="shared" si="0"/>
        <v>8000</v>
      </c>
      <c r="E13" s="3" t="e">
        <f t="shared" si="2"/>
        <v>#N/A</v>
      </c>
      <c r="F13" s="3" t="e">
        <f t="shared" si="3"/>
        <v>#N/A</v>
      </c>
    </row>
    <row r="14" spans="1:6" x14ac:dyDescent="0.25">
      <c r="A14" s="2"/>
      <c r="B14" s="3"/>
    </row>
    <row r="15" spans="1:6" x14ac:dyDescent="0.25">
      <c r="A15" s="4" t="s">
        <v>6</v>
      </c>
      <c r="B15" s="5">
        <v>3000</v>
      </c>
    </row>
    <row r="16" spans="1:6" x14ac:dyDescent="0.25">
      <c r="A16" s="6" t="s">
        <v>7</v>
      </c>
      <c r="B16" s="7">
        <v>8000</v>
      </c>
    </row>
    <row r="17" spans="1:2" x14ac:dyDescent="0.25">
      <c r="A17" s="2"/>
      <c r="B17" s="3"/>
    </row>
    <row r="18" spans="1:2" x14ac:dyDescent="0.25">
      <c r="A18" s="2"/>
      <c r="B18" s="3"/>
    </row>
    <row r="19" spans="1:2" x14ac:dyDescent="0.25">
      <c r="A19" s="2"/>
      <c r="B19" s="3"/>
    </row>
    <row r="20" spans="1:2" x14ac:dyDescent="0.25">
      <c r="A20" s="2"/>
      <c r="B20" s="3"/>
    </row>
    <row r="21" spans="1:2" x14ac:dyDescent="0.25">
      <c r="A21" s="2"/>
      <c r="B21" s="3"/>
    </row>
    <row r="22" spans="1:2" x14ac:dyDescent="0.25">
      <c r="A22" s="2"/>
      <c r="B22" s="3"/>
    </row>
    <row r="23" spans="1:2" x14ac:dyDescent="0.25">
      <c r="A23" s="2"/>
      <c r="B23" s="3"/>
    </row>
    <row r="24" spans="1:2" x14ac:dyDescent="0.25">
      <c r="A24" s="2"/>
      <c r="B24" s="3"/>
    </row>
    <row r="25" spans="1:2" x14ac:dyDescent="0.25">
      <c r="A25" s="2"/>
      <c r="B25" s="3"/>
    </row>
    <row r="26" spans="1:2" x14ac:dyDescent="0.25">
      <c r="A26" s="2"/>
      <c r="B26" s="3"/>
    </row>
    <row r="27" spans="1:2" x14ac:dyDescent="0.25">
      <c r="A27" s="2"/>
      <c r="B27" s="3"/>
    </row>
    <row r="28" spans="1:2" x14ac:dyDescent="0.25">
      <c r="A28" s="2"/>
      <c r="B28" s="3"/>
    </row>
    <row r="29" spans="1:2" x14ac:dyDescent="0.25">
      <c r="A29" s="2"/>
      <c r="B29" s="3"/>
    </row>
    <row r="30" spans="1:2" x14ac:dyDescent="0.25">
      <c r="A30" s="2"/>
      <c r="B30" s="3"/>
    </row>
    <row r="31" spans="1:2" x14ac:dyDescent="0.25">
      <c r="A31" s="2"/>
      <c r="B31" s="3"/>
    </row>
    <row r="32" spans="1:2" x14ac:dyDescent="0.25">
      <c r="A32" s="2"/>
      <c r="B32" s="3"/>
    </row>
    <row r="33" spans="1:2" x14ac:dyDescent="0.25">
      <c r="A33" s="2"/>
      <c r="B33" s="3"/>
    </row>
    <row r="34" spans="1:2" x14ac:dyDescent="0.25">
      <c r="A34" s="2"/>
      <c r="B34" s="3"/>
    </row>
    <row r="35" spans="1:2" x14ac:dyDescent="0.25">
      <c r="A35" s="2"/>
      <c r="B35" s="3"/>
    </row>
    <row r="36" spans="1:2" x14ac:dyDescent="0.25">
      <c r="A36" s="2"/>
      <c r="B36" s="3"/>
    </row>
  </sheetData>
  <pageMargins left="0.511811024" right="0.511811024" top="0.78740157499999996" bottom="0.78740157499999996" header="0.31496062000000002" footer="0.3149606200000000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Spinner 1">
              <controlPr defaultSize="0" autoPict="0">
                <anchor moveWithCells="1" sizeWithCells="1">
                  <from>
                    <xdr:col>1</xdr:col>
                    <xdr:colOff>514350</xdr:colOff>
                    <xdr:row>14</xdr:row>
                    <xdr:rowOff>0</xdr:rowOff>
                  </from>
                  <to>
                    <xdr:col>2</xdr:col>
                    <xdr:colOff>0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1</xdr:col>
                    <xdr:colOff>514350</xdr:colOff>
                    <xdr:row>15</xdr:row>
                    <xdr:rowOff>0</xdr:rowOff>
                  </from>
                  <to>
                    <xdr:col>1</xdr:col>
                    <xdr:colOff>723900</xdr:colOff>
                    <xdr:row>16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C22C-488C-497A-9654-2C9064E334B9}">
  <dimension ref="A1:F16"/>
  <sheetViews>
    <sheetView showGridLines="0" zoomScale="120" zoomScaleNormal="120" workbookViewId="0">
      <selection activeCell="E16" sqref="E16"/>
    </sheetView>
  </sheetViews>
  <sheetFormatPr defaultRowHeight="15" x14ac:dyDescent="0.25"/>
  <sheetData>
    <row r="1" spans="1:6" x14ac:dyDescent="0.25">
      <c r="A1" s="8" t="s">
        <v>0</v>
      </c>
      <c r="B1" s="8" t="s">
        <v>1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5">
      <c r="A2" s="9">
        <v>43831</v>
      </c>
      <c r="B2" s="10">
        <v>4800</v>
      </c>
      <c r="C2" s="3">
        <f>$B$15</f>
        <v>4000</v>
      </c>
      <c r="D2" s="3">
        <f>$B$16</f>
        <v>7000</v>
      </c>
      <c r="E2" s="11" t="e">
        <f>IF(B2&gt;=C2, #N/A, B2)</f>
        <v>#N/A</v>
      </c>
      <c r="F2" s="12" t="e">
        <f>IF(B2 &gt;= D2, B2, #N/A)</f>
        <v>#N/A</v>
      </c>
    </row>
    <row r="3" spans="1:6" x14ac:dyDescent="0.25">
      <c r="A3" s="9">
        <v>43862</v>
      </c>
      <c r="B3" s="10">
        <v>7284</v>
      </c>
      <c r="C3" s="3">
        <f t="shared" ref="C3:C13" si="0">$B$15</f>
        <v>4000</v>
      </c>
      <c r="D3" s="3">
        <f t="shared" ref="D3:D13" si="1">$B$16</f>
        <v>7000</v>
      </c>
      <c r="E3" s="11" t="e">
        <f t="shared" ref="E3:E13" si="2">IF(B3&gt;=C3, #N/A, B3)</f>
        <v>#N/A</v>
      </c>
      <c r="F3" s="12">
        <f t="shared" ref="F3:F13" si="3">IF(B3 &gt;= D3, B3, #N/A)</f>
        <v>7284</v>
      </c>
    </row>
    <row r="4" spans="1:6" x14ac:dyDescent="0.25">
      <c r="A4" s="9">
        <v>43891</v>
      </c>
      <c r="B4" s="10">
        <v>1840</v>
      </c>
      <c r="C4" s="3">
        <f t="shared" si="0"/>
        <v>4000</v>
      </c>
      <c r="D4" s="3">
        <f t="shared" si="1"/>
        <v>7000</v>
      </c>
      <c r="E4" s="11">
        <f t="shared" si="2"/>
        <v>1840</v>
      </c>
      <c r="F4" s="12" t="e">
        <f t="shared" si="3"/>
        <v>#N/A</v>
      </c>
    </row>
    <row r="5" spans="1:6" x14ac:dyDescent="0.25">
      <c r="A5" s="9">
        <v>43922</v>
      </c>
      <c r="B5" s="10">
        <v>4530</v>
      </c>
      <c r="C5" s="3">
        <f t="shared" si="0"/>
        <v>4000</v>
      </c>
      <c r="D5" s="3">
        <f t="shared" si="1"/>
        <v>7000</v>
      </c>
      <c r="E5" s="11" t="e">
        <f t="shared" si="2"/>
        <v>#N/A</v>
      </c>
      <c r="F5" s="12" t="e">
        <f t="shared" si="3"/>
        <v>#N/A</v>
      </c>
    </row>
    <row r="6" spans="1:6" x14ac:dyDescent="0.25">
      <c r="A6" s="9">
        <v>43952</v>
      </c>
      <c r="B6" s="10">
        <v>3241</v>
      </c>
      <c r="C6" s="3">
        <f t="shared" si="0"/>
        <v>4000</v>
      </c>
      <c r="D6" s="3">
        <f t="shared" si="1"/>
        <v>7000</v>
      </c>
      <c r="E6" s="11">
        <f t="shared" si="2"/>
        <v>3241</v>
      </c>
      <c r="F6" s="12" t="e">
        <f t="shared" si="3"/>
        <v>#N/A</v>
      </c>
    </row>
    <row r="7" spans="1:6" x14ac:dyDescent="0.25">
      <c r="A7" s="9">
        <v>43983</v>
      </c>
      <c r="B7" s="10">
        <v>8456</v>
      </c>
      <c r="C7" s="3">
        <f t="shared" si="0"/>
        <v>4000</v>
      </c>
      <c r="D7" s="3">
        <f t="shared" si="1"/>
        <v>7000</v>
      </c>
      <c r="E7" s="11" t="e">
        <f t="shared" si="2"/>
        <v>#N/A</v>
      </c>
      <c r="F7" s="12">
        <f t="shared" si="3"/>
        <v>8456</v>
      </c>
    </row>
    <row r="8" spans="1:6" x14ac:dyDescent="0.25">
      <c r="A8" s="9">
        <v>44013</v>
      </c>
      <c r="B8" s="10">
        <v>4114</v>
      </c>
      <c r="C8" s="3">
        <f t="shared" si="0"/>
        <v>4000</v>
      </c>
      <c r="D8" s="3">
        <f t="shared" si="1"/>
        <v>7000</v>
      </c>
      <c r="E8" s="11" t="e">
        <f t="shared" si="2"/>
        <v>#N/A</v>
      </c>
      <c r="F8" s="12" t="e">
        <f t="shared" si="3"/>
        <v>#N/A</v>
      </c>
    </row>
    <row r="9" spans="1:6" x14ac:dyDescent="0.25">
      <c r="A9" s="9">
        <v>44044</v>
      </c>
      <c r="B9" s="10">
        <v>2801</v>
      </c>
      <c r="C9" s="3">
        <f t="shared" si="0"/>
        <v>4000</v>
      </c>
      <c r="D9" s="3">
        <f t="shared" si="1"/>
        <v>7000</v>
      </c>
      <c r="E9" s="11">
        <f t="shared" si="2"/>
        <v>2801</v>
      </c>
      <c r="F9" s="12" t="e">
        <f t="shared" si="3"/>
        <v>#N/A</v>
      </c>
    </row>
    <row r="10" spans="1:6" x14ac:dyDescent="0.25">
      <c r="A10" s="9">
        <v>44075</v>
      </c>
      <c r="B10" s="10">
        <v>7772</v>
      </c>
      <c r="C10" s="3">
        <f t="shared" si="0"/>
        <v>4000</v>
      </c>
      <c r="D10" s="3">
        <f t="shared" si="1"/>
        <v>7000</v>
      </c>
      <c r="E10" s="11" t="e">
        <f t="shared" si="2"/>
        <v>#N/A</v>
      </c>
      <c r="F10" s="12">
        <f t="shared" si="3"/>
        <v>7772</v>
      </c>
    </row>
    <row r="11" spans="1:6" x14ac:dyDescent="0.25">
      <c r="A11" s="9">
        <v>44105</v>
      </c>
      <c r="B11" s="10">
        <v>9145</v>
      </c>
      <c r="C11" s="3">
        <f t="shared" si="0"/>
        <v>4000</v>
      </c>
      <c r="D11" s="3">
        <f t="shared" si="1"/>
        <v>7000</v>
      </c>
      <c r="E11" s="11" t="e">
        <f t="shared" si="2"/>
        <v>#N/A</v>
      </c>
      <c r="F11" s="12">
        <f t="shared" si="3"/>
        <v>9145</v>
      </c>
    </row>
    <row r="12" spans="1:6" x14ac:dyDescent="0.25">
      <c r="A12" s="9">
        <v>44136</v>
      </c>
      <c r="B12" s="10">
        <v>3789</v>
      </c>
      <c r="C12" s="3">
        <f t="shared" si="0"/>
        <v>4000</v>
      </c>
      <c r="D12" s="3">
        <f t="shared" si="1"/>
        <v>7000</v>
      </c>
      <c r="E12" s="11">
        <f t="shared" si="2"/>
        <v>3789</v>
      </c>
      <c r="F12" s="12" t="e">
        <f t="shared" si="3"/>
        <v>#N/A</v>
      </c>
    </row>
    <row r="13" spans="1:6" x14ac:dyDescent="0.25">
      <c r="A13" s="9">
        <v>44166</v>
      </c>
      <c r="B13" s="10">
        <v>4211</v>
      </c>
      <c r="C13" s="3">
        <f t="shared" si="0"/>
        <v>4000</v>
      </c>
      <c r="D13" s="3">
        <f t="shared" si="1"/>
        <v>7000</v>
      </c>
      <c r="E13" s="11" t="e">
        <f t="shared" si="2"/>
        <v>#N/A</v>
      </c>
      <c r="F13" s="12" t="e">
        <f t="shared" si="3"/>
        <v>#N/A</v>
      </c>
    </row>
    <row r="15" spans="1:6" x14ac:dyDescent="0.25">
      <c r="A15" t="s">
        <v>8</v>
      </c>
      <c r="B15" s="10">
        <v>4000</v>
      </c>
    </row>
    <row r="16" spans="1:6" x14ac:dyDescent="0.25">
      <c r="A16" t="s">
        <v>9</v>
      </c>
      <c r="B16" s="10">
        <v>7000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GraficoControle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Ferreira Martins</dc:creator>
  <cp:lastModifiedBy>Filipe Augusto</cp:lastModifiedBy>
  <dcterms:created xsi:type="dcterms:W3CDTF">2021-03-03T14:01:56Z</dcterms:created>
  <dcterms:modified xsi:type="dcterms:W3CDTF">2025-11-19T23:33:03Z</dcterms:modified>
</cp:coreProperties>
</file>