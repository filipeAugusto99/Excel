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workspace\cursos\excel\8-Funções de Texto\"/>
    </mc:Choice>
  </mc:AlternateContent>
  <xr:revisionPtr revIDLastSave="0" documentId="13_ncr:1_{39230848-6B19-4BBB-89C4-FC63B2170289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Funções de Texto - Resumo" sheetId="1" r:id="rId1"/>
    <sheet name="Exemplos (Parte 1)" sheetId="3" r:id="rId2"/>
    <sheet name="Exemplos (Parte 2)" sheetId="8" r:id="rId3"/>
    <sheet name="Exemplos (Parte 3)" sheetId="9" r:id="rId4"/>
    <sheet name="Aplicação" sheetId="4" r:id="rId5"/>
    <sheet name="Desafio 1" sheetId="2" r:id="rId6"/>
    <sheet name="Desafio 2" sheetId="7" r:id="rId7"/>
    <sheet name="Preenchimento Relâmpago" sheetId="6" r:id="rId8"/>
    <sheet name="Texto para Colunas" sheetId="5" r:id="rId9"/>
  </sheets>
  <definedNames>
    <definedName name="_xlnm._FilterDatabase" localSheetId="5" hidden="1">'Desafio 1'!#REF!</definedName>
    <definedName name="_xlnm._FilterDatabase" localSheetId="7" hidden="1">'Preenchimento Relâmpago'!#REF!</definedName>
    <definedName name="_xlnm._FilterDatabase" localSheetId="8" hidden="1">'Texto para Colunas'!#REF!</definedName>
    <definedName name="Balances" localSheetId="5">#REF!</definedName>
    <definedName name="Balances" localSheetId="7">#REF!</definedName>
    <definedName name="Balances" localSheetId="8">#REF!</definedName>
    <definedName name="Balances">#REF!</definedName>
    <definedName name="_xlnm.Database" localSheetId="5">#REF!</definedName>
    <definedName name="_xlnm.Database" localSheetId="7">#REF!</definedName>
    <definedName name="_xlnm.Database" localSheetId="8">#REF!</definedName>
    <definedName name="_xlnm.Database">#REF!</definedName>
    <definedName name="CargoSize" localSheetId="5">#REF!</definedName>
    <definedName name="CargoSize" localSheetId="7">#REF!</definedName>
    <definedName name="CargoSize" localSheetId="8">#REF!</definedName>
    <definedName name="CargoSize">#REF!</definedName>
    <definedName name="CargoSizes" localSheetId="5">#REF!</definedName>
    <definedName name="CargoSizes" localSheetId="7">#REF!</definedName>
    <definedName name="CargoSizes" localSheetId="8">#REF!</definedName>
    <definedName name="CargoSizes">#REF!</definedName>
    <definedName name="Contracts" localSheetId="5">#REF!</definedName>
    <definedName name="Contracts" localSheetId="7">#REF!</definedName>
    <definedName name="Contracts" localSheetId="8">#REF!</definedName>
    <definedName name="Contracts">#REF!</definedName>
    <definedName name="Equity" localSheetId="5">#REF!</definedName>
    <definedName name="Equity" localSheetId="7">#REF!</definedName>
    <definedName name="Equity" localSheetId="8">#REF!</definedName>
    <definedName name="Equity">#REF!</definedName>
    <definedName name="Factor" localSheetId="5">#REF!</definedName>
    <definedName name="Factor" localSheetId="7">#REF!</definedName>
    <definedName name="Factor" localSheetId="8">#REF!</definedName>
    <definedName name="Factor">#REF!</definedName>
    <definedName name="Lifters" localSheetId="5">#REF!</definedName>
    <definedName name="Lifters" localSheetId="7">#REF!</definedName>
    <definedName name="Lifters" localSheetId="8">#REF!</definedName>
    <definedName name="Lifters">#REF!</definedName>
    <definedName name="LP_Method" localSheetId="5">#REF!</definedName>
    <definedName name="LP_Method" localSheetId="7">#REF!</definedName>
    <definedName name="LP_Method" localSheetId="8">#REF!</definedName>
    <definedName name="LP_Method">#REF!</definedName>
    <definedName name="MaxStock" localSheetId="5">#REF!</definedName>
    <definedName name="MaxStock" localSheetId="7">#REF!</definedName>
    <definedName name="MaxStock" localSheetId="8">#REF!</definedName>
    <definedName name="MaxStock">#REF!</definedName>
    <definedName name="MinStock" localSheetId="5">#REF!</definedName>
    <definedName name="MinStock" localSheetId="7">#REF!</definedName>
    <definedName name="MinStock" localSheetId="8">#REF!</definedName>
    <definedName name="MinStock">#REF!</definedName>
    <definedName name="Password" localSheetId="5">#REF!</definedName>
    <definedName name="Password" localSheetId="7">#REF!</definedName>
    <definedName name="Password" localSheetId="8">#REF!</definedName>
    <definedName name="Password">#REF!</definedName>
    <definedName name="Pooling1" localSheetId="5">#REF!</definedName>
    <definedName name="Pooling1" localSheetId="7">#REF!</definedName>
    <definedName name="Pooling1" localSheetId="8">#REF!</definedName>
    <definedName name="Pooling1">#REF!</definedName>
    <definedName name="Pooling2" localSheetId="5">#REF!</definedName>
    <definedName name="Pooling2" localSheetId="7">#REF!</definedName>
    <definedName name="Pooling2" localSheetId="8">#REF!</definedName>
    <definedName name="Pooling2">#REF!</definedName>
    <definedName name="Pooling3" localSheetId="5">#REF!</definedName>
    <definedName name="Pooling3" localSheetId="7">#REF!</definedName>
    <definedName name="Pooling3" localSheetId="8">#REF!</definedName>
    <definedName name="Pooling3">#REF!</definedName>
    <definedName name="Resultado">#REF!</definedName>
    <definedName name="SafetyMargin" localSheetId="5">#REF!</definedName>
    <definedName name="SafetyMargin" localSheetId="7">#REF!</definedName>
    <definedName name="SafetyMargin" localSheetId="8">#REF!</definedName>
    <definedName name="SafetyMargin">#REF!</definedName>
    <definedName name="Stock" localSheetId="5">#REF!</definedName>
    <definedName name="Stock" localSheetId="7">#REF!</definedName>
    <definedName name="Stock" localSheetId="8">#REF!</definedName>
    <definedName name="Stock">#REF!</definedName>
    <definedName name="Storages" localSheetId="5">#REF!</definedName>
    <definedName name="Storages" localSheetId="7">#REF!</definedName>
    <definedName name="Storages" localSheetId="8">#REF!</definedName>
    <definedName name="Storages">#REF!</definedName>
    <definedName name="Thresholds" localSheetId="5">#REF!</definedName>
    <definedName name="Thresholds" localSheetId="7">#REF!</definedName>
    <definedName name="Thresholds" localSheetId="8">#REF!</definedName>
    <definedName name="Thresholds">#REF!</definedName>
    <definedName name="Username" localSheetId="5">#REF!</definedName>
    <definedName name="Username" localSheetId="7">#REF!</definedName>
    <definedName name="Username" localSheetId="8">#REF!</definedName>
    <definedName name="Userna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" i="4"/>
  <c r="J9" i="4"/>
  <c r="J17" i="4"/>
  <c r="J25" i="4"/>
  <c r="J33" i="4"/>
  <c r="J41" i="4"/>
  <c r="J49" i="4"/>
  <c r="J57" i="4"/>
  <c r="J65" i="4"/>
  <c r="J73" i="4"/>
  <c r="J81" i="4"/>
  <c r="J89" i="4"/>
  <c r="J97" i="4"/>
  <c r="J105" i="4"/>
  <c r="J113" i="4"/>
  <c r="J121" i="4"/>
  <c r="J129" i="4"/>
  <c r="J137" i="4"/>
  <c r="J145" i="4"/>
  <c r="J153" i="4"/>
  <c r="J161" i="4"/>
  <c r="J169" i="4"/>
  <c r="J177" i="4"/>
  <c r="J185" i="4"/>
  <c r="J193" i="4"/>
  <c r="J201" i="4"/>
  <c r="J209" i="4"/>
  <c r="J217" i="4"/>
  <c r="J225" i="4"/>
  <c r="J233" i="4"/>
  <c r="J241" i="4"/>
  <c r="J249" i="4"/>
  <c r="I3" i="4"/>
  <c r="J3" i="4" s="1"/>
  <c r="I4" i="4"/>
  <c r="J4" i="4" s="1"/>
  <c r="I5" i="4"/>
  <c r="J5" i="4" s="1"/>
  <c r="I6" i="4"/>
  <c r="J6" i="4" s="1"/>
  <c r="I7" i="4"/>
  <c r="J7" i="4" s="1"/>
  <c r="I8" i="4"/>
  <c r="J8" i="4" s="1"/>
  <c r="I9" i="4"/>
  <c r="I10" i="4"/>
  <c r="J10" i="4" s="1"/>
  <c r="I11" i="4"/>
  <c r="J11" i="4" s="1"/>
  <c r="I12" i="4"/>
  <c r="J12" i="4" s="1"/>
  <c r="I13" i="4"/>
  <c r="J13" i="4" s="1"/>
  <c r="I14" i="4"/>
  <c r="J14" i="4" s="1"/>
  <c r="I15" i="4"/>
  <c r="J15" i="4" s="1"/>
  <c r="I16" i="4"/>
  <c r="J16" i="4" s="1"/>
  <c r="I17" i="4"/>
  <c r="I18" i="4"/>
  <c r="J18" i="4" s="1"/>
  <c r="I19" i="4"/>
  <c r="J19" i="4" s="1"/>
  <c r="I20" i="4"/>
  <c r="J20" i="4" s="1"/>
  <c r="I21" i="4"/>
  <c r="J21" i="4" s="1"/>
  <c r="I22" i="4"/>
  <c r="J22" i="4" s="1"/>
  <c r="I23" i="4"/>
  <c r="J23" i="4" s="1"/>
  <c r="I24" i="4"/>
  <c r="J24" i="4" s="1"/>
  <c r="I25" i="4"/>
  <c r="I26" i="4"/>
  <c r="J26" i="4" s="1"/>
  <c r="I27" i="4"/>
  <c r="J27" i="4" s="1"/>
  <c r="I28" i="4"/>
  <c r="J28" i="4" s="1"/>
  <c r="I29" i="4"/>
  <c r="J29" i="4" s="1"/>
  <c r="I30" i="4"/>
  <c r="J30" i="4" s="1"/>
  <c r="I31" i="4"/>
  <c r="J31" i="4" s="1"/>
  <c r="I32" i="4"/>
  <c r="J32" i="4" s="1"/>
  <c r="I33" i="4"/>
  <c r="I34" i="4"/>
  <c r="J34" i="4" s="1"/>
  <c r="I35" i="4"/>
  <c r="J35" i="4" s="1"/>
  <c r="I36" i="4"/>
  <c r="J36" i="4" s="1"/>
  <c r="I37" i="4"/>
  <c r="J37" i="4" s="1"/>
  <c r="I38" i="4"/>
  <c r="J38" i="4" s="1"/>
  <c r="I39" i="4"/>
  <c r="J39" i="4" s="1"/>
  <c r="I40" i="4"/>
  <c r="J40" i="4" s="1"/>
  <c r="I41" i="4"/>
  <c r="I42" i="4"/>
  <c r="J42" i="4" s="1"/>
  <c r="I43" i="4"/>
  <c r="J43" i="4" s="1"/>
  <c r="I44" i="4"/>
  <c r="J44" i="4" s="1"/>
  <c r="I45" i="4"/>
  <c r="J45" i="4" s="1"/>
  <c r="I46" i="4"/>
  <c r="J46" i="4" s="1"/>
  <c r="I47" i="4"/>
  <c r="J47" i="4" s="1"/>
  <c r="I48" i="4"/>
  <c r="J48" i="4" s="1"/>
  <c r="I49" i="4"/>
  <c r="I50" i="4"/>
  <c r="J50" i="4" s="1"/>
  <c r="I51" i="4"/>
  <c r="J51" i="4" s="1"/>
  <c r="I52" i="4"/>
  <c r="J52" i="4" s="1"/>
  <c r="I53" i="4"/>
  <c r="J53" i="4" s="1"/>
  <c r="I54" i="4"/>
  <c r="J54" i="4" s="1"/>
  <c r="I55" i="4"/>
  <c r="J55" i="4" s="1"/>
  <c r="I56" i="4"/>
  <c r="J56" i="4" s="1"/>
  <c r="I57" i="4"/>
  <c r="I58" i="4"/>
  <c r="J58" i="4" s="1"/>
  <c r="I59" i="4"/>
  <c r="J59" i="4" s="1"/>
  <c r="I60" i="4"/>
  <c r="J60" i="4" s="1"/>
  <c r="I61" i="4"/>
  <c r="J61" i="4" s="1"/>
  <c r="I62" i="4"/>
  <c r="J62" i="4" s="1"/>
  <c r="I63" i="4"/>
  <c r="J63" i="4" s="1"/>
  <c r="I64" i="4"/>
  <c r="J64" i="4" s="1"/>
  <c r="I65" i="4"/>
  <c r="I66" i="4"/>
  <c r="J66" i="4" s="1"/>
  <c r="I67" i="4"/>
  <c r="J67" i="4" s="1"/>
  <c r="I68" i="4"/>
  <c r="J68" i="4" s="1"/>
  <c r="I69" i="4"/>
  <c r="J69" i="4" s="1"/>
  <c r="I70" i="4"/>
  <c r="J70" i="4" s="1"/>
  <c r="I71" i="4"/>
  <c r="J71" i="4" s="1"/>
  <c r="I72" i="4"/>
  <c r="J72" i="4" s="1"/>
  <c r="I73" i="4"/>
  <c r="I74" i="4"/>
  <c r="J74" i="4" s="1"/>
  <c r="I75" i="4"/>
  <c r="J75" i="4" s="1"/>
  <c r="I76" i="4"/>
  <c r="J76" i="4" s="1"/>
  <c r="I77" i="4"/>
  <c r="J77" i="4" s="1"/>
  <c r="I78" i="4"/>
  <c r="J78" i="4" s="1"/>
  <c r="I79" i="4"/>
  <c r="J79" i="4" s="1"/>
  <c r="I80" i="4"/>
  <c r="J80" i="4" s="1"/>
  <c r="I81" i="4"/>
  <c r="I82" i="4"/>
  <c r="J82" i="4" s="1"/>
  <c r="I83" i="4"/>
  <c r="J83" i="4" s="1"/>
  <c r="I84" i="4"/>
  <c r="J84" i="4" s="1"/>
  <c r="I85" i="4"/>
  <c r="J85" i="4" s="1"/>
  <c r="I86" i="4"/>
  <c r="J86" i="4" s="1"/>
  <c r="I87" i="4"/>
  <c r="J87" i="4" s="1"/>
  <c r="I88" i="4"/>
  <c r="J88" i="4" s="1"/>
  <c r="I89" i="4"/>
  <c r="I90" i="4"/>
  <c r="J90" i="4" s="1"/>
  <c r="I91" i="4"/>
  <c r="J91" i="4" s="1"/>
  <c r="I92" i="4"/>
  <c r="J92" i="4" s="1"/>
  <c r="I93" i="4"/>
  <c r="J93" i="4" s="1"/>
  <c r="I94" i="4"/>
  <c r="J94" i="4" s="1"/>
  <c r="I95" i="4"/>
  <c r="J95" i="4" s="1"/>
  <c r="I96" i="4"/>
  <c r="J96" i="4" s="1"/>
  <c r="I97" i="4"/>
  <c r="I98" i="4"/>
  <c r="J98" i="4" s="1"/>
  <c r="I99" i="4"/>
  <c r="J99" i="4" s="1"/>
  <c r="I100" i="4"/>
  <c r="J100" i="4" s="1"/>
  <c r="I101" i="4"/>
  <c r="J101" i="4" s="1"/>
  <c r="I102" i="4"/>
  <c r="J102" i="4" s="1"/>
  <c r="I103" i="4"/>
  <c r="J103" i="4" s="1"/>
  <c r="I104" i="4"/>
  <c r="J104" i="4" s="1"/>
  <c r="I105" i="4"/>
  <c r="I106" i="4"/>
  <c r="J106" i="4" s="1"/>
  <c r="I107" i="4"/>
  <c r="J107" i="4" s="1"/>
  <c r="I108" i="4"/>
  <c r="J108" i="4" s="1"/>
  <c r="I109" i="4"/>
  <c r="J109" i="4" s="1"/>
  <c r="I110" i="4"/>
  <c r="J110" i="4" s="1"/>
  <c r="I111" i="4"/>
  <c r="J111" i="4" s="1"/>
  <c r="I112" i="4"/>
  <c r="J112" i="4" s="1"/>
  <c r="I113" i="4"/>
  <c r="I114" i="4"/>
  <c r="J114" i="4" s="1"/>
  <c r="I115" i="4"/>
  <c r="J115" i="4" s="1"/>
  <c r="I116" i="4"/>
  <c r="J116" i="4" s="1"/>
  <c r="I117" i="4"/>
  <c r="J117" i="4" s="1"/>
  <c r="I118" i="4"/>
  <c r="J118" i="4" s="1"/>
  <c r="I119" i="4"/>
  <c r="J119" i="4" s="1"/>
  <c r="I120" i="4"/>
  <c r="J120" i="4" s="1"/>
  <c r="I121" i="4"/>
  <c r="I122" i="4"/>
  <c r="J122" i="4" s="1"/>
  <c r="I123" i="4"/>
  <c r="J123" i="4" s="1"/>
  <c r="I124" i="4"/>
  <c r="J124" i="4" s="1"/>
  <c r="I125" i="4"/>
  <c r="J125" i="4" s="1"/>
  <c r="I126" i="4"/>
  <c r="J126" i="4" s="1"/>
  <c r="I127" i="4"/>
  <c r="J127" i="4" s="1"/>
  <c r="I128" i="4"/>
  <c r="J128" i="4" s="1"/>
  <c r="I129" i="4"/>
  <c r="I130" i="4"/>
  <c r="J130" i="4" s="1"/>
  <c r="I131" i="4"/>
  <c r="J131" i="4" s="1"/>
  <c r="I132" i="4"/>
  <c r="J132" i="4" s="1"/>
  <c r="I133" i="4"/>
  <c r="J133" i="4" s="1"/>
  <c r="I134" i="4"/>
  <c r="J134" i="4" s="1"/>
  <c r="I135" i="4"/>
  <c r="J135" i="4" s="1"/>
  <c r="I136" i="4"/>
  <c r="J136" i="4" s="1"/>
  <c r="I137" i="4"/>
  <c r="I138" i="4"/>
  <c r="J138" i="4" s="1"/>
  <c r="I139" i="4"/>
  <c r="J139" i="4" s="1"/>
  <c r="I140" i="4"/>
  <c r="J140" i="4" s="1"/>
  <c r="I141" i="4"/>
  <c r="J141" i="4" s="1"/>
  <c r="I142" i="4"/>
  <c r="J142" i="4" s="1"/>
  <c r="I143" i="4"/>
  <c r="J143" i="4" s="1"/>
  <c r="I144" i="4"/>
  <c r="J144" i="4" s="1"/>
  <c r="I145" i="4"/>
  <c r="I146" i="4"/>
  <c r="J146" i="4" s="1"/>
  <c r="I147" i="4"/>
  <c r="J147" i="4" s="1"/>
  <c r="I148" i="4"/>
  <c r="J148" i="4" s="1"/>
  <c r="I149" i="4"/>
  <c r="J149" i="4" s="1"/>
  <c r="I150" i="4"/>
  <c r="J150" i="4" s="1"/>
  <c r="I151" i="4"/>
  <c r="J151" i="4" s="1"/>
  <c r="I152" i="4"/>
  <c r="J152" i="4" s="1"/>
  <c r="I153" i="4"/>
  <c r="I154" i="4"/>
  <c r="J154" i="4" s="1"/>
  <c r="I155" i="4"/>
  <c r="J155" i="4" s="1"/>
  <c r="I156" i="4"/>
  <c r="J156" i="4" s="1"/>
  <c r="I157" i="4"/>
  <c r="J157" i="4" s="1"/>
  <c r="I158" i="4"/>
  <c r="J158" i="4" s="1"/>
  <c r="I159" i="4"/>
  <c r="J159" i="4" s="1"/>
  <c r="I160" i="4"/>
  <c r="J160" i="4" s="1"/>
  <c r="I161" i="4"/>
  <c r="I162" i="4"/>
  <c r="J162" i="4" s="1"/>
  <c r="I163" i="4"/>
  <c r="J163" i="4" s="1"/>
  <c r="I164" i="4"/>
  <c r="J164" i="4" s="1"/>
  <c r="I165" i="4"/>
  <c r="J165" i="4" s="1"/>
  <c r="I166" i="4"/>
  <c r="J166" i="4" s="1"/>
  <c r="I167" i="4"/>
  <c r="J167" i="4" s="1"/>
  <c r="I168" i="4"/>
  <c r="J168" i="4" s="1"/>
  <c r="I169" i="4"/>
  <c r="I170" i="4"/>
  <c r="J170" i="4" s="1"/>
  <c r="I171" i="4"/>
  <c r="J171" i="4" s="1"/>
  <c r="I172" i="4"/>
  <c r="J172" i="4" s="1"/>
  <c r="I173" i="4"/>
  <c r="J173" i="4" s="1"/>
  <c r="I174" i="4"/>
  <c r="J174" i="4" s="1"/>
  <c r="I175" i="4"/>
  <c r="J175" i="4" s="1"/>
  <c r="I176" i="4"/>
  <c r="J176" i="4" s="1"/>
  <c r="I177" i="4"/>
  <c r="I178" i="4"/>
  <c r="J178" i="4" s="1"/>
  <c r="I179" i="4"/>
  <c r="J179" i="4" s="1"/>
  <c r="I180" i="4"/>
  <c r="J180" i="4" s="1"/>
  <c r="I181" i="4"/>
  <c r="J181" i="4" s="1"/>
  <c r="I182" i="4"/>
  <c r="J182" i="4" s="1"/>
  <c r="I183" i="4"/>
  <c r="J183" i="4" s="1"/>
  <c r="I184" i="4"/>
  <c r="J184" i="4" s="1"/>
  <c r="I185" i="4"/>
  <c r="I186" i="4"/>
  <c r="J186" i="4" s="1"/>
  <c r="I187" i="4"/>
  <c r="J187" i="4" s="1"/>
  <c r="I188" i="4"/>
  <c r="J188" i="4" s="1"/>
  <c r="I189" i="4"/>
  <c r="J189" i="4" s="1"/>
  <c r="I190" i="4"/>
  <c r="J190" i="4" s="1"/>
  <c r="I191" i="4"/>
  <c r="J191" i="4" s="1"/>
  <c r="I192" i="4"/>
  <c r="J192" i="4" s="1"/>
  <c r="I193" i="4"/>
  <c r="I194" i="4"/>
  <c r="J194" i="4" s="1"/>
  <c r="I195" i="4"/>
  <c r="J195" i="4" s="1"/>
  <c r="I196" i="4"/>
  <c r="J196" i="4" s="1"/>
  <c r="I197" i="4"/>
  <c r="J197" i="4" s="1"/>
  <c r="I198" i="4"/>
  <c r="J198" i="4" s="1"/>
  <c r="I199" i="4"/>
  <c r="J199" i="4" s="1"/>
  <c r="I200" i="4"/>
  <c r="J200" i="4" s="1"/>
  <c r="I201" i="4"/>
  <c r="I202" i="4"/>
  <c r="J202" i="4" s="1"/>
  <c r="I203" i="4"/>
  <c r="J203" i="4" s="1"/>
  <c r="I204" i="4"/>
  <c r="J204" i="4" s="1"/>
  <c r="I205" i="4"/>
  <c r="J205" i="4" s="1"/>
  <c r="I206" i="4"/>
  <c r="J206" i="4" s="1"/>
  <c r="I207" i="4"/>
  <c r="J207" i="4" s="1"/>
  <c r="I208" i="4"/>
  <c r="J208" i="4" s="1"/>
  <c r="I209" i="4"/>
  <c r="I210" i="4"/>
  <c r="J210" i="4" s="1"/>
  <c r="I211" i="4"/>
  <c r="J211" i="4" s="1"/>
  <c r="I212" i="4"/>
  <c r="J212" i="4" s="1"/>
  <c r="I213" i="4"/>
  <c r="J213" i="4" s="1"/>
  <c r="I214" i="4"/>
  <c r="J214" i="4" s="1"/>
  <c r="I215" i="4"/>
  <c r="J215" i="4" s="1"/>
  <c r="I216" i="4"/>
  <c r="J216" i="4" s="1"/>
  <c r="I217" i="4"/>
  <c r="I218" i="4"/>
  <c r="J218" i="4" s="1"/>
  <c r="I219" i="4"/>
  <c r="J219" i="4" s="1"/>
  <c r="I220" i="4"/>
  <c r="J220" i="4" s="1"/>
  <c r="I221" i="4"/>
  <c r="J221" i="4" s="1"/>
  <c r="I222" i="4"/>
  <c r="J222" i="4" s="1"/>
  <c r="I223" i="4"/>
  <c r="J223" i="4" s="1"/>
  <c r="I224" i="4"/>
  <c r="J224" i="4" s="1"/>
  <c r="I225" i="4"/>
  <c r="I226" i="4"/>
  <c r="J226" i="4" s="1"/>
  <c r="I227" i="4"/>
  <c r="J227" i="4" s="1"/>
  <c r="I228" i="4"/>
  <c r="J228" i="4" s="1"/>
  <c r="I229" i="4"/>
  <c r="J229" i="4" s="1"/>
  <c r="I230" i="4"/>
  <c r="J230" i="4" s="1"/>
  <c r="I231" i="4"/>
  <c r="J231" i="4" s="1"/>
  <c r="I232" i="4"/>
  <c r="J232" i="4" s="1"/>
  <c r="I233" i="4"/>
  <c r="I234" i="4"/>
  <c r="J234" i="4" s="1"/>
  <c r="I235" i="4"/>
  <c r="J235" i="4" s="1"/>
  <c r="I236" i="4"/>
  <c r="J236" i="4" s="1"/>
  <c r="I237" i="4"/>
  <c r="J237" i="4" s="1"/>
  <c r="I238" i="4"/>
  <c r="J238" i="4" s="1"/>
  <c r="I239" i="4"/>
  <c r="J239" i="4" s="1"/>
  <c r="I240" i="4"/>
  <c r="J240" i="4" s="1"/>
  <c r="I241" i="4"/>
  <c r="I242" i="4"/>
  <c r="J242" i="4" s="1"/>
  <c r="I243" i="4"/>
  <c r="J243" i="4" s="1"/>
  <c r="I244" i="4"/>
  <c r="J244" i="4" s="1"/>
  <c r="I245" i="4"/>
  <c r="J245" i="4" s="1"/>
  <c r="I246" i="4"/>
  <c r="J246" i="4" s="1"/>
  <c r="I247" i="4"/>
  <c r="J247" i="4" s="1"/>
  <c r="I248" i="4"/>
  <c r="J248" i="4" s="1"/>
  <c r="I249" i="4"/>
  <c r="I250" i="4"/>
  <c r="J250" i="4" s="1"/>
  <c r="I2" i="4"/>
  <c r="J2" i="4" s="1"/>
  <c r="H9" i="4"/>
  <c r="H17" i="4"/>
  <c r="H33" i="4"/>
  <c r="H41" i="4"/>
  <c r="H73" i="4"/>
  <c r="H81" i="4"/>
  <c r="H97" i="4"/>
  <c r="H105" i="4"/>
  <c r="H137" i="4"/>
  <c r="H145" i="4"/>
  <c r="H161" i="4"/>
  <c r="H169" i="4"/>
  <c r="H201" i="4"/>
  <c r="H209" i="4"/>
  <c r="H225" i="4"/>
  <c r="H233" i="4"/>
  <c r="G3" i="4"/>
  <c r="H3" i="4" s="1"/>
  <c r="G4" i="4"/>
  <c r="H4" i="4" s="1"/>
  <c r="G5" i="4"/>
  <c r="H5" i="4" s="1"/>
  <c r="G6" i="4"/>
  <c r="H6" i="4" s="1"/>
  <c r="G7" i="4"/>
  <c r="H7" i="4" s="1"/>
  <c r="G8" i="4"/>
  <c r="H8" i="4" s="1"/>
  <c r="G9" i="4"/>
  <c r="G10" i="4"/>
  <c r="H10" i="4" s="1"/>
  <c r="G11" i="4"/>
  <c r="H11" i="4" s="1"/>
  <c r="G12" i="4"/>
  <c r="H12" i="4" s="1"/>
  <c r="G13" i="4"/>
  <c r="H13" i="4" s="1"/>
  <c r="G14" i="4"/>
  <c r="H14" i="4" s="1"/>
  <c r="G15" i="4"/>
  <c r="H15" i="4" s="1"/>
  <c r="G16" i="4"/>
  <c r="H16" i="4" s="1"/>
  <c r="G17" i="4"/>
  <c r="G18" i="4"/>
  <c r="H18" i="4" s="1"/>
  <c r="G19" i="4"/>
  <c r="H19" i="4" s="1"/>
  <c r="G20" i="4"/>
  <c r="H20" i="4" s="1"/>
  <c r="G21" i="4"/>
  <c r="H21" i="4" s="1"/>
  <c r="G22" i="4"/>
  <c r="H22" i="4" s="1"/>
  <c r="G23" i="4"/>
  <c r="H23" i="4" s="1"/>
  <c r="G24" i="4"/>
  <c r="H24" i="4" s="1"/>
  <c r="G25" i="4"/>
  <c r="H25" i="4" s="1"/>
  <c r="G26" i="4"/>
  <c r="H26" i="4" s="1"/>
  <c r="G27" i="4"/>
  <c r="H27" i="4" s="1"/>
  <c r="G28" i="4"/>
  <c r="H28" i="4" s="1"/>
  <c r="G29" i="4"/>
  <c r="H29" i="4" s="1"/>
  <c r="G30" i="4"/>
  <c r="H30" i="4" s="1"/>
  <c r="G31" i="4"/>
  <c r="H31" i="4" s="1"/>
  <c r="G32" i="4"/>
  <c r="H32" i="4" s="1"/>
  <c r="G33" i="4"/>
  <c r="G34" i="4"/>
  <c r="H34" i="4" s="1"/>
  <c r="G35" i="4"/>
  <c r="H35" i="4" s="1"/>
  <c r="G36" i="4"/>
  <c r="H36" i="4" s="1"/>
  <c r="G37" i="4"/>
  <c r="H37" i="4" s="1"/>
  <c r="G38" i="4"/>
  <c r="H38" i="4" s="1"/>
  <c r="G39" i="4"/>
  <c r="H39" i="4" s="1"/>
  <c r="G40" i="4"/>
  <c r="H40" i="4" s="1"/>
  <c r="G41" i="4"/>
  <c r="G42" i="4"/>
  <c r="H42" i="4" s="1"/>
  <c r="G43" i="4"/>
  <c r="H43" i="4" s="1"/>
  <c r="G44" i="4"/>
  <c r="H44" i="4" s="1"/>
  <c r="G45" i="4"/>
  <c r="H45" i="4" s="1"/>
  <c r="G46" i="4"/>
  <c r="H46" i="4" s="1"/>
  <c r="G47" i="4"/>
  <c r="H47" i="4" s="1"/>
  <c r="G48" i="4"/>
  <c r="H48" i="4" s="1"/>
  <c r="G49" i="4"/>
  <c r="H49" i="4" s="1"/>
  <c r="G50" i="4"/>
  <c r="H50" i="4" s="1"/>
  <c r="G51" i="4"/>
  <c r="H51" i="4" s="1"/>
  <c r="G52" i="4"/>
  <c r="H52" i="4" s="1"/>
  <c r="G53" i="4"/>
  <c r="H53" i="4" s="1"/>
  <c r="G54" i="4"/>
  <c r="H54" i="4" s="1"/>
  <c r="G55" i="4"/>
  <c r="H55" i="4" s="1"/>
  <c r="G56" i="4"/>
  <c r="H56" i="4" s="1"/>
  <c r="G57" i="4"/>
  <c r="H57" i="4" s="1"/>
  <c r="G58" i="4"/>
  <c r="H58" i="4" s="1"/>
  <c r="G59" i="4"/>
  <c r="H59" i="4" s="1"/>
  <c r="G60" i="4"/>
  <c r="H60" i="4" s="1"/>
  <c r="G61" i="4"/>
  <c r="H61" i="4" s="1"/>
  <c r="G62" i="4"/>
  <c r="H62" i="4" s="1"/>
  <c r="G63" i="4"/>
  <c r="H63" i="4" s="1"/>
  <c r="G64" i="4"/>
  <c r="H64" i="4" s="1"/>
  <c r="G65" i="4"/>
  <c r="H65" i="4" s="1"/>
  <c r="G66" i="4"/>
  <c r="H66" i="4" s="1"/>
  <c r="G67" i="4"/>
  <c r="H67" i="4" s="1"/>
  <c r="G68" i="4"/>
  <c r="H68" i="4" s="1"/>
  <c r="G69" i="4"/>
  <c r="H69" i="4" s="1"/>
  <c r="G70" i="4"/>
  <c r="H70" i="4" s="1"/>
  <c r="G71" i="4"/>
  <c r="H71" i="4" s="1"/>
  <c r="G72" i="4"/>
  <c r="H72" i="4" s="1"/>
  <c r="G73" i="4"/>
  <c r="G74" i="4"/>
  <c r="H74" i="4" s="1"/>
  <c r="G75" i="4"/>
  <c r="H75" i="4" s="1"/>
  <c r="G76" i="4"/>
  <c r="H76" i="4" s="1"/>
  <c r="G77" i="4"/>
  <c r="H77" i="4" s="1"/>
  <c r="G78" i="4"/>
  <c r="H78" i="4" s="1"/>
  <c r="G79" i="4"/>
  <c r="H79" i="4" s="1"/>
  <c r="G80" i="4"/>
  <c r="H80" i="4" s="1"/>
  <c r="G81" i="4"/>
  <c r="G82" i="4"/>
  <c r="H82" i="4" s="1"/>
  <c r="G83" i="4"/>
  <c r="H83" i="4" s="1"/>
  <c r="G84" i="4"/>
  <c r="H84" i="4" s="1"/>
  <c r="G85" i="4"/>
  <c r="H85" i="4" s="1"/>
  <c r="G86" i="4"/>
  <c r="H86" i="4" s="1"/>
  <c r="G87" i="4"/>
  <c r="H87" i="4" s="1"/>
  <c r="G88" i="4"/>
  <c r="H88" i="4" s="1"/>
  <c r="G89" i="4"/>
  <c r="H89" i="4" s="1"/>
  <c r="G90" i="4"/>
  <c r="H90" i="4" s="1"/>
  <c r="G91" i="4"/>
  <c r="H91" i="4" s="1"/>
  <c r="G92" i="4"/>
  <c r="H92" i="4" s="1"/>
  <c r="G93" i="4"/>
  <c r="H93" i="4" s="1"/>
  <c r="G94" i="4"/>
  <c r="H94" i="4" s="1"/>
  <c r="G95" i="4"/>
  <c r="H95" i="4" s="1"/>
  <c r="G96" i="4"/>
  <c r="H96" i="4" s="1"/>
  <c r="G97" i="4"/>
  <c r="G98" i="4"/>
  <c r="H98" i="4" s="1"/>
  <c r="G99" i="4"/>
  <c r="H99" i="4" s="1"/>
  <c r="G100" i="4"/>
  <c r="H100" i="4" s="1"/>
  <c r="G101" i="4"/>
  <c r="H101" i="4" s="1"/>
  <c r="G102" i="4"/>
  <c r="H102" i="4" s="1"/>
  <c r="G103" i="4"/>
  <c r="H103" i="4" s="1"/>
  <c r="G104" i="4"/>
  <c r="H104" i="4" s="1"/>
  <c r="G105" i="4"/>
  <c r="G106" i="4"/>
  <c r="H106" i="4" s="1"/>
  <c r="G107" i="4"/>
  <c r="H107" i="4" s="1"/>
  <c r="G108" i="4"/>
  <c r="H108" i="4" s="1"/>
  <c r="G109" i="4"/>
  <c r="H109" i="4" s="1"/>
  <c r="G110" i="4"/>
  <c r="H110" i="4" s="1"/>
  <c r="G111" i="4"/>
  <c r="H111" i="4" s="1"/>
  <c r="G112" i="4"/>
  <c r="H112" i="4" s="1"/>
  <c r="G113" i="4"/>
  <c r="H113" i="4" s="1"/>
  <c r="G114" i="4"/>
  <c r="H114" i="4" s="1"/>
  <c r="G115" i="4"/>
  <c r="H115" i="4" s="1"/>
  <c r="G116" i="4"/>
  <c r="H116" i="4" s="1"/>
  <c r="G117" i="4"/>
  <c r="H117" i="4" s="1"/>
  <c r="G118" i="4"/>
  <c r="H118" i="4" s="1"/>
  <c r="G119" i="4"/>
  <c r="H119" i="4" s="1"/>
  <c r="G120" i="4"/>
  <c r="H120" i="4" s="1"/>
  <c r="G121" i="4"/>
  <c r="H121" i="4" s="1"/>
  <c r="G122" i="4"/>
  <c r="H122" i="4" s="1"/>
  <c r="G123" i="4"/>
  <c r="H123" i="4" s="1"/>
  <c r="G124" i="4"/>
  <c r="H124" i="4" s="1"/>
  <c r="G125" i="4"/>
  <c r="H125" i="4" s="1"/>
  <c r="G126" i="4"/>
  <c r="H126" i="4" s="1"/>
  <c r="G127" i="4"/>
  <c r="H127" i="4" s="1"/>
  <c r="G128" i="4"/>
  <c r="H128" i="4" s="1"/>
  <c r="G129" i="4"/>
  <c r="H129" i="4" s="1"/>
  <c r="G130" i="4"/>
  <c r="H130" i="4" s="1"/>
  <c r="G131" i="4"/>
  <c r="H131" i="4" s="1"/>
  <c r="G132" i="4"/>
  <c r="H132" i="4" s="1"/>
  <c r="G133" i="4"/>
  <c r="H133" i="4" s="1"/>
  <c r="G134" i="4"/>
  <c r="H134" i="4" s="1"/>
  <c r="G135" i="4"/>
  <c r="H135" i="4" s="1"/>
  <c r="G136" i="4"/>
  <c r="H136" i="4" s="1"/>
  <c r="G137" i="4"/>
  <c r="G138" i="4"/>
  <c r="H138" i="4" s="1"/>
  <c r="G139" i="4"/>
  <c r="H139" i="4" s="1"/>
  <c r="G140" i="4"/>
  <c r="H140" i="4" s="1"/>
  <c r="G141" i="4"/>
  <c r="H141" i="4" s="1"/>
  <c r="G142" i="4"/>
  <c r="H142" i="4" s="1"/>
  <c r="G143" i="4"/>
  <c r="H143" i="4" s="1"/>
  <c r="G144" i="4"/>
  <c r="H144" i="4" s="1"/>
  <c r="G145" i="4"/>
  <c r="G146" i="4"/>
  <c r="H146" i="4" s="1"/>
  <c r="G147" i="4"/>
  <c r="H147" i="4" s="1"/>
  <c r="G148" i="4"/>
  <c r="H148" i="4" s="1"/>
  <c r="G149" i="4"/>
  <c r="H149" i="4" s="1"/>
  <c r="G150" i="4"/>
  <c r="H150" i="4" s="1"/>
  <c r="G151" i="4"/>
  <c r="H151" i="4" s="1"/>
  <c r="G152" i="4"/>
  <c r="H152" i="4" s="1"/>
  <c r="G153" i="4"/>
  <c r="H153" i="4" s="1"/>
  <c r="G154" i="4"/>
  <c r="H154" i="4" s="1"/>
  <c r="G155" i="4"/>
  <c r="H155" i="4" s="1"/>
  <c r="G156" i="4"/>
  <c r="H156" i="4" s="1"/>
  <c r="G157" i="4"/>
  <c r="H157" i="4" s="1"/>
  <c r="G158" i="4"/>
  <c r="H158" i="4" s="1"/>
  <c r="G159" i="4"/>
  <c r="H159" i="4" s="1"/>
  <c r="G160" i="4"/>
  <c r="H160" i="4" s="1"/>
  <c r="G161" i="4"/>
  <c r="G162" i="4"/>
  <c r="H162" i="4" s="1"/>
  <c r="G163" i="4"/>
  <c r="H163" i="4" s="1"/>
  <c r="G164" i="4"/>
  <c r="H164" i="4" s="1"/>
  <c r="G165" i="4"/>
  <c r="H165" i="4" s="1"/>
  <c r="G166" i="4"/>
  <c r="H166" i="4" s="1"/>
  <c r="G167" i="4"/>
  <c r="H167" i="4" s="1"/>
  <c r="G168" i="4"/>
  <c r="H168" i="4" s="1"/>
  <c r="G169" i="4"/>
  <c r="G170" i="4"/>
  <c r="H170" i="4" s="1"/>
  <c r="G171" i="4"/>
  <c r="H171" i="4" s="1"/>
  <c r="G172" i="4"/>
  <c r="H172" i="4" s="1"/>
  <c r="G173" i="4"/>
  <c r="H173" i="4" s="1"/>
  <c r="G174" i="4"/>
  <c r="H174" i="4" s="1"/>
  <c r="G175" i="4"/>
  <c r="H175" i="4" s="1"/>
  <c r="G176" i="4"/>
  <c r="H176" i="4" s="1"/>
  <c r="G177" i="4"/>
  <c r="H177" i="4" s="1"/>
  <c r="G178" i="4"/>
  <c r="H178" i="4" s="1"/>
  <c r="G179" i="4"/>
  <c r="H179" i="4" s="1"/>
  <c r="G180" i="4"/>
  <c r="H180" i="4" s="1"/>
  <c r="G181" i="4"/>
  <c r="H181" i="4" s="1"/>
  <c r="G182" i="4"/>
  <c r="H182" i="4" s="1"/>
  <c r="G183" i="4"/>
  <c r="H183" i="4" s="1"/>
  <c r="G184" i="4"/>
  <c r="H184" i="4" s="1"/>
  <c r="G185" i="4"/>
  <c r="H185" i="4" s="1"/>
  <c r="G186" i="4"/>
  <c r="H186" i="4" s="1"/>
  <c r="G187" i="4"/>
  <c r="H187" i="4" s="1"/>
  <c r="G188" i="4"/>
  <c r="H188" i="4" s="1"/>
  <c r="G189" i="4"/>
  <c r="H189" i="4" s="1"/>
  <c r="G190" i="4"/>
  <c r="H190" i="4" s="1"/>
  <c r="G191" i="4"/>
  <c r="H191" i="4" s="1"/>
  <c r="G192" i="4"/>
  <c r="H192" i="4" s="1"/>
  <c r="G193" i="4"/>
  <c r="H193" i="4" s="1"/>
  <c r="G194" i="4"/>
  <c r="H194" i="4" s="1"/>
  <c r="G195" i="4"/>
  <c r="H195" i="4" s="1"/>
  <c r="G196" i="4"/>
  <c r="H196" i="4" s="1"/>
  <c r="G197" i="4"/>
  <c r="H197" i="4" s="1"/>
  <c r="G198" i="4"/>
  <c r="H198" i="4" s="1"/>
  <c r="G199" i="4"/>
  <c r="H199" i="4" s="1"/>
  <c r="G200" i="4"/>
  <c r="H200" i="4" s="1"/>
  <c r="G201" i="4"/>
  <c r="G202" i="4"/>
  <c r="H202" i="4" s="1"/>
  <c r="G203" i="4"/>
  <c r="H203" i="4" s="1"/>
  <c r="G204" i="4"/>
  <c r="H204" i="4" s="1"/>
  <c r="G205" i="4"/>
  <c r="H205" i="4" s="1"/>
  <c r="G206" i="4"/>
  <c r="H206" i="4" s="1"/>
  <c r="G207" i="4"/>
  <c r="H207" i="4" s="1"/>
  <c r="G208" i="4"/>
  <c r="H208" i="4" s="1"/>
  <c r="G209" i="4"/>
  <c r="G210" i="4"/>
  <c r="H210" i="4" s="1"/>
  <c r="G211" i="4"/>
  <c r="H211" i="4" s="1"/>
  <c r="G212" i="4"/>
  <c r="H212" i="4" s="1"/>
  <c r="G213" i="4"/>
  <c r="H213" i="4" s="1"/>
  <c r="G214" i="4"/>
  <c r="H214" i="4" s="1"/>
  <c r="G215" i="4"/>
  <c r="H215" i="4" s="1"/>
  <c r="G216" i="4"/>
  <c r="H216" i="4" s="1"/>
  <c r="G217" i="4"/>
  <c r="H217" i="4" s="1"/>
  <c r="G218" i="4"/>
  <c r="H218" i="4" s="1"/>
  <c r="G219" i="4"/>
  <c r="H219" i="4" s="1"/>
  <c r="G220" i="4"/>
  <c r="H220" i="4" s="1"/>
  <c r="G221" i="4"/>
  <c r="H221" i="4" s="1"/>
  <c r="G222" i="4"/>
  <c r="H222" i="4" s="1"/>
  <c r="G223" i="4"/>
  <c r="H223" i="4" s="1"/>
  <c r="G224" i="4"/>
  <c r="H224" i="4" s="1"/>
  <c r="G225" i="4"/>
  <c r="G226" i="4"/>
  <c r="H226" i="4" s="1"/>
  <c r="G227" i="4"/>
  <c r="H227" i="4" s="1"/>
  <c r="G228" i="4"/>
  <c r="H228" i="4" s="1"/>
  <c r="G229" i="4"/>
  <c r="H229" i="4" s="1"/>
  <c r="G230" i="4"/>
  <c r="H230" i="4" s="1"/>
  <c r="G231" i="4"/>
  <c r="H231" i="4" s="1"/>
  <c r="G232" i="4"/>
  <c r="H232" i="4" s="1"/>
  <c r="G233" i="4"/>
  <c r="G234" i="4"/>
  <c r="H234" i="4" s="1"/>
  <c r="G235" i="4"/>
  <c r="H235" i="4" s="1"/>
  <c r="G236" i="4"/>
  <c r="H236" i="4" s="1"/>
  <c r="G237" i="4"/>
  <c r="H237" i="4" s="1"/>
  <c r="G238" i="4"/>
  <c r="H238" i="4" s="1"/>
  <c r="G239" i="4"/>
  <c r="H239" i="4" s="1"/>
  <c r="G240" i="4"/>
  <c r="H240" i="4" s="1"/>
  <c r="G241" i="4"/>
  <c r="H241" i="4" s="1"/>
  <c r="G242" i="4"/>
  <c r="H242" i="4" s="1"/>
  <c r="G243" i="4"/>
  <c r="H243" i="4" s="1"/>
  <c r="G244" i="4"/>
  <c r="H244" i="4" s="1"/>
  <c r="G245" i="4"/>
  <c r="H245" i="4" s="1"/>
  <c r="G246" i="4"/>
  <c r="H246" i="4" s="1"/>
  <c r="G247" i="4"/>
  <c r="H247" i="4" s="1"/>
  <c r="G248" i="4"/>
  <c r="H248" i="4" s="1"/>
  <c r="G249" i="4"/>
  <c r="H249" i="4" s="1"/>
  <c r="G250" i="4"/>
  <c r="H250" i="4" s="1"/>
  <c r="G2" i="4"/>
  <c r="H2" i="4" s="1"/>
  <c r="E3" i="4"/>
  <c r="F3" i="4" s="1"/>
  <c r="E4" i="4"/>
  <c r="F4" i="4" s="1"/>
  <c r="E5" i="4"/>
  <c r="F5" i="4" s="1"/>
  <c r="E6" i="4"/>
  <c r="F6" i="4" s="1"/>
  <c r="E7" i="4"/>
  <c r="F7" i="4" s="1"/>
  <c r="E8" i="4"/>
  <c r="F8" i="4" s="1"/>
  <c r="E9" i="4"/>
  <c r="F9" i="4" s="1"/>
  <c r="E10" i="4"/>
  <c r="F10" i="4" s="1"/>
  <c r="E11" i="4"/>
  <c r="F11" i="4" s="1"/>
  <c r="E12" i="4"/>
  <c r="F12" i="4" s="1"/>
  <c r="E13" i="4"/>
  <c r="F13" i="4" s="1"/>
  <c r="E14" i="4"/>
  <c r="F14" i="4" s="1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E34" i="4"/>
  <c r="F34" i="4" s="1"/>
  <c r="E35" i="4"/>
  <c r="F35" i="4" s="1"/>
  <c r="E36" i="4"/>
  <c r="F36" i="4" s="1"/>
  <c r="E37" i="4"/>
  <c r="F37" i="4" s="1"/>
  <c r="E38" i="4"/>
  <c r="F38" i="4" s="1"/>
  <c r="E39" i="4"/>
  <c r="F39" i="4" s="1"/>
  <c r="E40" i="4"/>
  <c r="F40" i="4" s="1"/>
  <c r="E41" i="4"/>
  <c r="F41" i="4" s="1"/>
  <c r="E42" i="4"/>
  <c r="F42" i="4" s="1"/>
  <c r="E43" i="4"/>
  <c r="F43" i="4" s="1"/>
  <c r="E44" i="4"/>
  <c r="F44" i="4" s="1"/>
  <c r="E45" i="4"/>
  <c r="F45" i="4" s="1"/>
  <c r="E46" i="4"/>
  <c r="F46" i="4" s="1"/>
  <c r="E47" i="4"/>
  <c r="F47" i="4" s="1"/>
  <c r="E48" i="4"/>
  <c r="F48" i="4" s="1"/>
  <c r="E49" i="4"/>
  <c r="F49" i="4" s="1"/>
  <c r="E50" i="4"/>
  <c r="F50" i="4" s="1"/>
  <c r="E51" i="4"/>
  <c r="F51" i="4" s="1"/>
  <c r="E52" i="4"/>
  <c r="F52" i="4" s="1"/>
  <c r="E53" i="4"/>
  <c r="F53" i="4" s="1"/>
  <c r="E54" i="4"/>
  <c r="F54" i="4" s="1"/>
  <c r="E55" i="4"/>
  <c r="F55" i="4" s="1"/>
  <c r="E56" i="4"/>
  <c r="F56" i="4" s="1"/>
  <c r="E57" i="4"/>
  <c r="F57" i="4" s="1"/>
  <c r="E58" i="4"/>
  <c r="F58" i="4" s="1"/>
  <c r="E59" i="4"/>
  <c r="F59" i="4" s="1"/>
  <c r="E60" i="4"/>
  <c r="F60" i="4" s="1"/>
  <c r="E61" i="4"/>
  <c r="F61" i="4" s="1"/>
  <c r="E62" i="4"/>
  <c r="F62" i="4" s="1"/>
  <c r="E63" i="4"/>
  <c r="F63" i="4" s="1"/>
  <c r="E64" i="4"/>
  <c r="F64" i="4" s="1"/>
  <c r="E65" i="4"/>
  <c r="F65" i="4" s="1"/>
  <c r="E66" i="4"/>
  <c r="F66" i="4" s="1"/>
  <c r="E67" i="4"/>
  <c r="F67" i="4" s="1"/>
  <c r="E68" i="4"/>
  <c r="F68" i="4" s="1"/>
  <c r="E69" i="4"/>
  <c r="F69" i="4" s="1"/>
  <c r="E70" i="4"/>
  <c r="F70" i="4" s="1"/>
  <c r="E71" i="4"/>
  <c r="F71" i="4" s="1"/>
  <c r="E72" i="4"/>
  <c r="F72" i="4" s="1"/>
  <c r="E73" i="4"/>
  <c r="F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E86" i="4"/>
  <c r="F86" i="4" s="1"/>
  <c r="E87" i="4"/>
  <c r="F87" i="4" s="1"/>
  <c r="E88" i="4"/>
  <c r="F88" i="4" s="1"/>
  <c r="E89" i="4"/>
  <c r="F89" i="4" s="1"/>
  <c r="E90" i="4"/>
  <c r="F90" i="4" s="1"/>
  <c r="E91" i="4"/>
  <c r="F91" i="4" s="1"/>
  <c r="E92" i="4"/>
  <c r="F92" i="4" s="1"/>
  <c r="E93" i="4"/>
  <c r="F93" i="4" s="1"/>
  <c r="E94" i="4"/>
  <c r="F94" i="4" s="1"/>
  <c r="E95" i="4"/>
  <c r="F95" i="4" s="1"/>
  <c r="E96" i="4"/>
  <c r="F96" i="4" s="1"/>
  <c r="E97" i="4"/>
  <c r="F97" i="4" s="1"/>
  <c r="E98" i="4"/>
  <c r="F98" i="4" s="1"/>
  <c r="E99" i="4"/>
  <c r="F99" i="4" s="1"/>
  <c r="E100" i="4"/>
  <c r="F100" i="4" s="1"/>
  <c r="E101" i="4"/>
  <c r="F101" i="4" s="1"/>
  <c r="E102" i="4"/>
  <c r="F102" i="4" s="1"/>
  <c r="E103" i="4"/>
  <c r="F103" i="4" s="1"/>
  <c r="E104" i="4"/>
  <c r="F104" i="4" s="1"/>
  <c r="E105" i="4"/>
  <c r="F105" i="4" s="1"/>
  <c r="E106" i="4"/>
  <c r="F106" i="4" s="1"/>
  <c r="E107" i="4"/>
  <c r="F107" i="4" s="1"/>
  <c r="E108" i="4"/>
  <c r="F108" i="4" s="1"/>
  <c r="E109" i="4"/>
  <c r="F109" i="4" s="1"/>
  <c r="E110" i="4"/>
  <c r="F110" i="4" s="1"/>
  <c r="E111" i="4"/>
  <c r="F111" i="4" s="1"/>
  <c r="E112" i="4"/>
  <c r="F112" i="4" s="1"/>
  <c r="E113" i="4"/>
  <c r="F113" i="4" s="1"/>
  <c r="E114" i="4"/>
  <c r="F114" i="4" s="1"/>
  <c r="E115" i="4"/>
  <c r="F115" i="4" s="1"/>
  <c r="E116" i="4"/>
  <c r="F116" i="4" s="1"/>
  <c r="E117" i="4"/>
  <c r="F117" i="4" s="1"/>
  <c r="E118" i="4"/>
  <c r="F118" i="4" s="1"/>
  <c r="E119" i="4"/>
  <c r="F119" i="4" s="1"/>
  <c r="E120" i="4"/>
  <c r="F120" i="4" s="1"/>
  <c r="E121" i="4"/>
  <c r="F121" i="4" s="1"/>
  <c r="E122" i="4"/>
  <c r="F122" i="4" s="1"/>
  <c r="E123" i="4"/>
  <c r="F123" i="4" s="1"/>
  <c r="E124" i="4"/>
  <c r="F124" i="4" s="1"/>
  <c r="E125" i="4"/>
  <c r="F125" i="4" s="1"/>
  <c r="E126" i="4"/>
  <c r="F126" i="4" s="1"/>
  <c r="E127" i="4"/>
  <c r="F127" i="4" s="1"/>
  <c r="E128" i="4"/>
  <c r="F128" i="4" s="1"/>
  <c r="E129" i="4"/>
  <c r="F129" i="4" s="1"/>
  <c r="E130" i="4"/>
  <c r="F130" i="4" s="1"/>
  <c r="E131" i="4"/>
  <c r="F131" i="4" s="1"/>
  <c r="E132" i="4"/>
  <c r="F132" i="4" s="1"/>
  <c r="E133" i="4"/>
  <c r="F133" i="4" s="1"/>
  <c r="E134" i="4"/>
  <c r="F134" i="4" s="1"/>
  <c r="E135" i="4"/>
  <c r="F135" i="4" s="1"/>
  <c r="E136" i="4"/>
  <c r="F136" i="4" s="1"/>
  <c r="E137" i="4"/>
  <c r="F137" i="4" s="1"/>
  <c r="E138" i="4"/>
  <c r="F138" i="4" s="1"/>
  <c r="E139" i="4"/>
  <c r="F139" i="4" s="1"/>
  <c r="E140" i="4"/>
  <c r="F140" i="4" s="1"/>
  <c r="E141" i="4"/>
  <c r="F141" i="4" s="1"/>
  <c r="E142" i="4"/>
  <c r="F142" i="4" s="1"/>
  <c r="E143" i="4"/>
  <c r="F143" i="4" s="1"/>
  <c r="E144" i="4"/>
  <c r="F144" i="4" s="1"/>
  <c r="E145" i="4"/>
  <c r="F145" i="4" s="1"/>
  <c r="E146" i="4"/>
  <c r="F146" i="4" s="1"/>
  <c r="E147" i="4"/>
  <c r="F147" i="4" s="1"/>
  <c r="E148" i="4"/>
  <c r="F148" i="4" s="1"/>
  <c r="E149" i="4"/>
  <c r="F149" i="4" s="1"/>
  <c r="E150" i="4"/>
  <c r="F150" i="4" s="1"/>
  <c r="E151" i="4"/>
  <c r="F151" i="4" s="1"/>
  <c r="E152" i="4"/>
  <c r="F152" i="4" s="1"/>
  <c r="E153" i="4"/>
  <c r="F153" i="4" s="1"/>
  <c r="E154" i="4"/>
  <c r="F154" i="4" s="1"/>
  <c r="E155" i="4"/>
  <c r="F155" i="4" s="1"/>
  <c r="E156" i="4"/>
  <c r="F156" i="4" s="1"/>
  <c r="E157" i="4"/>
  <c r="F157" i="4" s="1"/>
  <c r="E158" i="4"/>
  <c r="F158" i="4" s="1"/>
  <c r="E159" i="4"/>
  <c r="F159" i="4" s="1"/>
  <c r="E160" i="4"/>
  <c r="F160" i="4" s="1"/>
  <c r="E161" i="4"/>
  <c r="F161" i="4" s="1"/>
  <c r="E162" i="4"/>
  <c r="F162" i="4" s="1"/>
  <c r="E163" i="4"/>
  <c r="F163" i="4" s="1"/>
  <c r="E164" i="4"/>
  <c r="F164" i="4" s="1"/>
  <c r="E165" i="4"/>
  <c r="F165" i="4" s="1"/>
  <c r="E166" i="4"/>
  <c r="F166" i="4" s="1"/>
  <c r="E167" i="4"/>
  <c r="F167" i="4" s="1"/>
  <c r="E168" i="4"/>
  <c r="F168" i="4" s="1"/>
  <c r="E169" i="4"/>
  <c r="F169" i="4" s="1"/>
  <c r="E170" i="4"/>
  <c r="F170" i="4" s="1"/>
  <c r="E171" i="4"/>
  <c r="F171" i="4" s="1"/>
  <c r="E172" i="4"/>
  <c r="F172" i="4" s="1"/>
  <c r="E173" i="4"/>
  <c r="F173" i="4" s="1"/>
  <c r="E174" i="4"/>
  <c r="F174" i="4" s="1"/>
  <c r="E175" i="4"/>
  <c r="F175" i="4" s="1"/>
  <c r="E176" i="4"/>
  <c r="F176" i="4" s="1"/>
  <c r="E177" i="4"/>
  <c r="F177" i="4" s="1"/>
  <c r="E178" i="4"/>
  <c r="F178" i="4" s="1"/>
  <c r="E179" i="4"/>
  <c r="F179" i="4" s="1"/>
  <c r="E180" i="4"/>
  <c r="F180" i="4" s="1"/>
  <c r="E181" i="4"/>
  <c r="F181" i="4" s="1"/>
  <c r="E182" i="4"/>
  <c r="F182" i="4" s="1"/>
  <c r="E183" i="4"/>
  <c r="F183" i="4" s="1"/>
  <c r="E184" i="4"/>
  <c r="F184" i="4" s="1"/>
  <c r="E185" i="4"/>
  <c r="F185" i="4" s="1"/>
  <c r="E186" i="4"/>
  <c r="F186" i="4" s="1"/>
  <c r="E187" i="4"/>
  <c r="F187" i="4" s="1"/>
  <c r="E188" i="4"/>
  <c r="F188" i="4" s="1"/>
  <c r="E189" i="4"/>
  <c r="F189" i="4" s="1"/>
  <c r="E190" i="4"/>
  <c r="F190" i="4" s="1"/>
  <c r="E191" i="4"/>
  <c r="F191" i="4" s="1"/>
  <c r="E192" i="4"/>
  <c r="F192" i="4" s="1"/>
  <c r="E193" i="4"/>
  <c r="F193" i="4" s="1"/>
  <c r="E194" i="4"/>
  <c r="F194" i="4" s="1"/>
  <c r="E195" i="4"/>
  <c r="F195" i="4" s="1"/>
  <c r="E196" i="4"/>
  <c r="F196" i="4" s="1"/>
  <c r="E197" i="4"/>
  <c r="F197" i="4" s="1"/>
  <c r="E198" i="4"/>
  <c r="F198" i="4" s="1"/>
  <c r="E199" i="4"/>
  <c r="F199" i="4" s="1"/>
  <c r="E200" i="4"/>
  <c r="F200" i="4" s="1"/>
  <c r="E201" i="4"/>
  <c r="F201" i="4" s="1"/>
  <c r="E202" i="4"/>
  <c r="F202" i="4" s="1"/>
  <c r="E203" i="4"/>
  <c r="F203" i="4" s="1"/>
  <c r="E204" i="4"/>
  <c r="F204" i="4" s="1"/>
  <c r="E205" i="4"/>
  <c r="F205" i="4" s="1"/>
  <c r="E206" i="4"/>
  <c r="F206" i="4" s="1"/>
  <c r="E207" i="4"/>
  <c r="F207" i="4" s="1"/>
  <c r="E208" i="4"/>
  <c r="F208" i="4" s="1"/>
  <c r="E209" i="4"/>
  <c r="F209" i="4" s="1"/>
  <c r="E210" i="4"/>
  <c r="F210" i="4" s="1"/>
  <c r="E211" i="4"/>
  <c r="F211" i="4" s="1"/>
  <c r="E212" i="4"/>
  <c r="F212" i="4" s="1"/>
  <c r="E213" i="4"/>
  <c r="F213" i="4" s="1"/>
  <c r="E214" i="4"/>
  <c r="F214" i="4" s="1"/>
  <c r="E215" i="4"/>
  <c r="F215" i="4" s="1"/>
  <c r="E216" i="4"/>
  <c r="F216" i="4" s="1"/>
  <c r="E217" i="4"/>
  <c r="F217" i="4" s="1"/>
  <c r="E218" i="4"/>
  <c r="F218" i="4" s="1"/>
  <c r="E219" i="4"/>
  <c r="F219" i="4" s="1"/>
  <c r="E220" i="4"/>
  <c r="F220" i="4" s="1"/>
  <c r="E221" i="4"/>
  <c r="F221" i="4" s="1"/>
  <c r="E222" i="4"/>
  <c r="F222" i="4" s="1"/>
  <c r="E223" i="4"/>
  <c r="F223" i="4" s="1"/>
  <c r="E224" i="4"/>
  <c r="F224" i="4" s="1"/>
  <c r="E225" i="4"/>
  <c r="F225" i="4" s="1"/>
  <c r="E226" i="4"/>
  <c r="F226" i="4" s="1"/>
  <c r="E227" i="4"/>
  <c r="F227" i="4" s="1"/>
  <c r="E228" i="4"/>
  <c r="F228" i="4" s="1"/>
  <c r="E229" i="4"/>
  <c r="F229" i="4" s="1"/>
  <c r="E230" i="4"/>
  <c r="F230" i="4" s="1"/>
  <c r="E231" i="4"/>
  <c r="F231" i="4" s="1"/>
  <c r="E232" i="4"/>
  <c r="F232" i="4" s="1"/>
  <c r="E233" i="4"/>
  <c r="F233" i="4" s="1"/>
  <c r="E234" i="4"/>
  <c r="F234" i="4" s="1"/>
  <c r="E235" i="4"/>
  <c r="F235" i="4" s="1"/>
  <c r="E236" i="4"/>
  <c r="F236" i="4" s="1"/>
  <c r="E237" i="4"/>
  <c r="F237" i="4" s="1"/>
  <c r="E238" i="4"/>
  <c r="F238" i="4" s="1"/>
  <c r="E239" i="4"/>
  <c r="F239" i="4" s="1"/>
  <c r="E240" i="4"/>
  <c r="F240" i="4" s="1"/>
  <c r="E241" i="4"/>
  <c r="F241" i="4" s="1"/>
  <c r="E242" i="4"/>
  <c r="F242" i="4" s="1"/>
  <c r="E243" i="4"/>
  <c r="F243" i="4" s="1"/>
  <c r="E244" i="4"/>
  <c r="F244" i="4" s="1"/>
  <c r="E245" i="4"/>
  <c r="F245" i="4" s="1"/>
  <c r="E246" i="4"/>
  <c r="F246" i="4" s="1"/>
  <c r="E247" i="4"/>
  <c r="F247" i="4" s="1"/>
  <c r="E248" i="4"/>
  <c r="F248" i="4" s="1"/>
  <c r="E249" i="4"/>
  <c r="F249" i="4" s="1"/>
  <c r="E250" i="4"/>
  <c r="F250" i="4" s="1"/>
  <c r="E2" i="4"/>
  <c r="F2" i="4" s="1"/>
  <c r="C7" i="9"/>
  <c r="C6" i="9"/>
  <c r="C5" i="9"/>
  <c r="C4" i="9"/>
  <c r="C3" i="9"/>
  <c r="C14" i="3"/>
  <c r="C12" i="3"/>
  <c r="C13" i="3" s="1"/>
  <c r="C11" i="3"/>
  <c r="C10" i="3"/>
  <c r="C9" i="3"/>
  <c r="C8" i="3"/>
  <c r="C6" i="3"/>
  <c r="C5" i="3"/>
  <c r="C4" i="3"/>
  <c r="C7" i="3" s="1"/>
</calcChain>
</file>

<file path=xl/sharedStrings.xml><?xml version="1.0" encoding="utf-8"?>
<sst xmlns="http://schemas.openxmlformats.org/spreadsheetml/2006/main" count="2969" uniqueCount="2740">
  <si>
    <r>
      <t xml:space="preserve">1. Na tabela abaixo, separe o </t>
    </r>
    <r>
      <rPr>
        <b/>
        <sz val="10"/>
        <color rgb="FFFF0000"/>
        <rFont val="Calibri"/>
        <family val="2"/>
        <scheme val="minor"/>
      </rPr>
      <t>Código</t>
    </r>
    <r>
      <rPr>
        <b/>
        <sz val="10"/>
        <color theme="1"/>
        <rFont val="Calibri"/>
        <family val="2"/>
        <scheme val="minor"/>
      </rPr>
      <t xml:space="preserve">, </t>
    </r>
    <r>
      <rPr>
        <b/>
        <sz val="10"/>
        <color rgb="FFFF0000"/>
        <rFont val="Calibri"/>
        <family val="2"/>
        <scheme val="minor"/>
      </rPr>
      <t>Marca</t>
    </r>
    <r>
      <rPr>
        <b/>
        <sz val="10"/>
        <color theme="1"/>
        <rFont val="Calibri"/>
        <family val="2"/>
        <scheme val="minor"/>
      </rPr>
      <t xml:space="preserve"> e </t>
    </r>
    <r>
      <rPr>
        <b/>
        <sz val="10"/>
        <color rgb="FFFF0000"/>
        <rFont val="Calibri"/>
        <family val="2"/>
        <scheme val="minor"/>
      </rPr>
      <t>Fábrica</t>
    </r>
    <r>
      <rPr>
        <b/>
        <sz val="10"/>
        <color theme="1"/>
        <rFont val="Calibri"/>
        <family val="2"/>
        <scheme val="minor"/>
      </rPr>
      <t xml:space="preserve"> em 3 colunas usando fórmulas de texto.</t>
    </r>
  </si>
  <si>
    <t>Dica: Utilize colunas auxiliares para descobrir a posição do underline</t>
  </si>
  <si>
    <t>Valor Vendido</t>
  </si>
  <si>
    <t>Código</t>
  </si>
  <si>
    <t>Marca</t>
  </si>
  <si>
    <t>H1437701_FRUCTIS_Fábrica São Paulo</t>
  </si>
  <si>
    <t>A6086300_Dermo-Expertise_Fábrica Rio de Janeiro</t>
  </si>
  <si>
    <t>Código_Marca_Fábrica</t>
  </si>
  <si>
    <t>ESQUERDA</t>
  </si>
  <si>
    <t>FÓRMULAS DE TEXTO</t>
  </si>
  <si>
    <t>DIREITA</t>
  </si>
  <si>
    <t>NÚM.CARACT</t>
  </si>
  <si>
    <t>CONCATENAR</t>
  </si>
  <si>
    <t>LOCALIZAR</t>
  </si>
  <si>
    <t>Localiza um valor de texto dentro de outro (não diferencia maiúsculas de minúsculas)</t>
  </si>
  <si>
    <t>EXT.TEXTO</t>
  </si>
  <si>
    <t>MINÚSCULA</t>
  </si>
  <si>
    <t>MAIÚSCULA</t>
  </si>
  <si>
    <t>PRI.MAIÚSCULA</t>
  </si>
  <si>
    <t>Converte a primeira letra de cada palavra é convertida para maiúscula, e as demais em minúscula.</t>
  </si>
  <si>
    <t>Retorna os caracteres mais à esquerda de um texto</t>
  </si>
  <si>
    <t>Retorna os caracteres mais à direita de um texto</t>
  </si>
  <si>
    <t>Retorna o número de caracteres em um texto</t>
  </si>
  <si>
    <t>Retorna pedaço de um texto, começando na posição especificada, com base no número de caracteres especificado</t>
  </si>
  <si>
    <t>Converte o texto para letra minúscula</t>
  </si>
  <si>
    <t>Converte o texto para letra maiúscula</t>
  </si>
  <si>
    <t>PROCURAR</t>
  </si>
  <si>
    <t>Localiza um valor de texto dentro de outro (diferencia maiúsculas de minúsculas)</t>
  </si>
  <si>
    <t>João Paulo Martins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</si>
  <si>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</si>
  <si>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</si>
  <si>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</si>
  <si>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</si>
  <si>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</si>
  <si>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</si>
  <si>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</si>
  <si>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</si>
  <si>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</si>
  <si>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</si>
  <si>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</si>
  <si>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</si>
  <si>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</si>
  <si>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</si>
  <si>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</si>
  <si>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</si>
  <si>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</si>
  <si>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</si>
  <si>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</si>
  <si>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</si>
  <si>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</si>
  <si>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</si>
  <si>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</si>
  <si>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</si>
  <si>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Smart TV 50' 4K - Preto</t>
  </si>
  <si>
    <t>LG</t>
  </si>
  <si>
    <t>Televisão</t>
  </si>
  <si>
    <t>iPhone 7 - Dourado</t>
  </si>
  <si>
    <t>Apple</t>
  </si>
  <si>
    <t>Celular</t>
  </si>
  <si>
    <t>Galaxy S10 - Cinza</t>
  </si>
  <si>
    <t>Samsung</t>
  </si>
  <si>
    <t>Apple Watch - Preto</t>
  </si>
  <si>
    <t>Smart Watch</t>
  </si>
  <si>
    <t>Câmera Digital Rebel T6 - Preto</t>
  </si>
  <si>
    <t>Canon</t>
  </si>
  <si>
    <t>Câmera</t>
  </si>
  <si>
    <t>TV LED 32' - Preto</t>
  </si>
  <si>
    <t>Inspiron 15 - Prata</t>
  </si>
  <si>
    <t>Dell</t>
  </si>
  <si>
    <t>Notebook</t>
  </si>
  <si>
    <t>Smart TV LED Full HD 55' - Preto</t>
  </si>
  <si>
    <t>Philco</t>
  </si>
  <si>
    <t>Moto G7 - Vermelho</t>
  </si>
  <si>
    <t>Motorola</t>
  </si>
  <si>
    <t>iPhone 6S - Rosa</t>
  </si>
  <si>
    <t>Tablet M10 Android - Preto</t>
  </si>
  <si>
    <t>Tablet</t>
  </si>
  <si>
    <t>Dell G7 - Vermelho</t>
  </si>
  <si>
    <t>Câmera Coolpix L340 - Cinza</t>
  </si>
  <si>
    <t>Nikon</t>
  </si>
  <si>
    <t>Galaxy J8 - Roxo</t>
  </si>
  <si>
    <t>Câmera Digital Sony Cyber - Azul</t>
  </si>
  <si>
    <t>Sony</t>
  </si>
  <si>
    <t>Smart Watch Galaxy - Azul</t>
  </si>
  <si>
    <t>Smart TV 75' 4K - Preto</t>
  </si>
  <si>
    <t>Smart Watch MI - Amarelo</t>
  </si>
  <si>
    <t>Xiaomi</t>
  </si>
  <si>
    <t>iPhone XS - Preto</t>
  </si>
  <si>
    <t>Moto Z - Vermelho</t>
  </si>
  <si>
    <t>Galaxy S8 - Verde</t>
  </si>
  <si>
    <t>iPad 32GB Wifi - Prata</t>
  </si>
  <si>
    <t>Samsung Dual Core - Preto</t>
  </si>
  <si>
    <t>Aspire 5 - Cinza</t>
  </si>
  <si>
    <t>Acer</t>
  </si>
  <si>
    <t>Vendedor</t>
  </si>
  <si>
    <t>Sthefeson Pereira</t>
  </si>
  <si>
    <t>Antonio Manhães</t>
  </si>
  <si>
    <t>Bianca Paz</t>
  </si>
  <si>
    <t>Silvio Fahrnholz</t>
  </si>
  <si>
    <t>Luiza Cabral</t>
  </si>
  <si>
    <t>Ana Silva</t>
  </si>
  <si>
    <t>Natalia Marinho</t>
  </si>
  <si>
    <t>Leonardo Ferreira</t>
  </si>
  <si>
    <t>Chan Santos</t>
  </si>
  <si>
    <t>Fernanda Ferreira</t>
  </si>
  <si>
    <t>Raissa Negrelli</t>
  </si>
  <si>
    <t>Arthur Rocha</t>
  </si>
  <si>
    <t>Eduardo Silva</t>
  </si>
  <si>
    <t>João Aires</t>
  </si>
  <si>
    <t>Caio Caldas</t>
  </si>
  <si>
    <t>Tiago Pereira</t>
  </si>
  <si>
    <t>Julia Penteado</t>
  </si>
  <si>
    <t>Bernardo Botelho</t>
  </si>
  <si>
    <t>Victor Ferreira</t>
  </si>
  <si>
    <t>Thays Castro</t>
  </si>
  <si>
    <t>Ruan Lopes</t>
  </si>
  <si>
    <t>Mariana Baptista</t>
  </si>
  <si>
    <t>Alexandre Rodriguez</t>
  </si>
  <si>
    <t>Natalia Guedes</t>
  </si>
  <si>
    <t>Manuela Merege</t>
  </si>
  <si>
    <t>Bruna Ramos</t>
  </si>
  <si>
    <t>Caio Vianna</t>
  </si>
  <si>
    <t>Bernardo Nauenberg</t>
  </si>
  <si>
    <t>Rodrigo Bruno</t>
  </si>
  <si>
    <t>Pedro Macckione</t>
  </si>
  <si>
    <t>Giuseppe Bhering</t>
  </si>
  <si>
    <t>Isabela Resende</t>
  </si>
  <si>
    <t>Raíza Lopes</t>
  </si>
  <si>
    <t>Wilson Vianna</t>
  </si>
  <si>
    <t>Larissa Florim</t>
  </si>
  <si>
    <t>Luíza Melo</t>
  </si>
  <si>
    <t>Fernanda Junior</t>
  </si>
  <si>
    <t>Bianca Procaci</t>
  </si>
  <si>
    <t>Diogo Peixoto</t>
  </si>
  <si>
    <t>Cícero Lima</t>
  </si>
  <si>
    <t>Raphael Kurtz</t>
  </si>
  <si>
    <t>Fabio Boccaletti</t>
  </si>
  <si>
    <t>Manuela Ferreira</t>
  </si>
  <si>
    <t>Juliana Correa</t>
  </si>
  <si>
    <t>Jéssica Resinente</t>
  </si>
  <si>
    <t>Adrielle Forte</t>
  </si>
  <si>
    <t>Thayna Martins</t>
  </si>
  <si>
    <t>Pedro Jorge</t>
  </si>
  <si>
    <t>Juliana Souza</t>
  </si>
  <si>
    <t>Tayla Lima</t>
  </si>
  <si>
    <t>Thiago Miura</t>
  </si>
  <si>
    <t>Beatriz Silva</t>
  </si>
  <si>
    <t>VA001</t>
  </si>
  <si>
    <t>VA002</t>
  </si>
  <si>
    <t>VA003</t>
  </si>
  <si>
    <t>VA004</t>
  </si>
  <si>
    <t>VA005</t>
  </si>
  <si>
    <t>VA006</t>
  </si>
  <si>
    <t>VA007</t>
  </si>
  <si>
    <t>VA008</t>
  </si>
  <si>
    <t>VA009</t>
  </si>
  <si>
    <t>VA010</t>
  </si>
  <si>
    <t>VA011</t>
  </si>
  <si>
    <t>VA012</t>
  </si>
  <si>
    <t>VA013</t>
  </si>
  <si>
    <t>VA014</t>
  </si>
  <si>
    <t>VA015</t>
  </si>
  <si>
    <t>VA016</t>
  </si>
  <si>
    <t>VA017</t>
  </si>
  <si>
    <t>VA018</t>
  </si>
  <si>
    <t>VA019</t>
  </si>
  <si>
    <t>VA020</t>
  </si>
  <si>
    <t>VA021</t>
  </si>
  <si>
    <t>VA022</t>
  </si>
  <si>
    <t>VA023</t>
  </si>
  <si>
    <t>VA024</t>
  </si>
  <si>
    <t>VA025</t>
  </si>
  <si>
    <t>VA026</t>
  </si>
  <si>
    <t>VA027</t>
  </si>
  <si>
    <t>VA028</t>
  </si>
  <si>
    <t>VA029</t>
  </si>
  <si>
    <t>VA030</t>
  </si>
  <si>
    <t>VA031</t>
  </si>
  <si>
    <t>VA032</t>
  </si>
  <si>
    <t>VA033</t>
  </si>
  <si>
    <t>VA034</t>
  </si>
  <si>
    <t>VA035</t>
  </si>
  <si>
    <t>VA036</t>
  </si>
  <si>
    <t>VA037</t>
  </si>
  <si>
    <t>VA038</t>
  </si>
  <si>
    <t>VA039</t>
  </si>
  <si>
    <t>VA040</t>
  </si>
  <si>
    <t>VA041</t>
  </si>
  <si>
    <t>VA042</t>
  </si>
  <si>
    <t>VA043</t>
  </si>
  <si>
    <t>VA044</t>
  </si>
  <si>
    <t>VA045</t>
  </si>
  <si>
    <t>VA046</t>
  </si>
  <si>
    <t>VA047</t>
  </si>
  <si>
    <t>VA048</t>
  </si>
  <si>
    <t>VA049</t>
  </si>
  <si>
    <t>VA050</t>
  </si>
  <si>
    <t>VA051</t>
  </si>
  <si>
    <t>VA052</t>
  </si>
  <si>
    <t>TLV</t>
  </si>
  <si>
    <t>CLR</t>
  </si>
  <si>
    <t>SMW</t>
  </si>
  <si>
    <t>CAM</t>
  </si>
  <si>
    <t>NTB</t>
  </si>
  <si>
    <t>TBL</t>
  </si>
  <si>
    <t>Vendedores</t>
  </si>
  <si>
    <t>Nome</t>
  </si>
  <si>
    <t>Cadastro</t>
  </si>
  <si>
    <t>Produtos</t>
  </si>
  <si>
    <t>Preço Unitário</t>
  </si>
  <si>
    <t>Custo Unitário</t>
  </si>
  <si>
    <t>Categorias</t>
  </si>
  <si>
    <t>Rio de Janeiro</t>
  </si>
  <si>
    <t>Belo Horizonte</t>
  </si>
  <si>
    <t>Salvador</t>
  </si>
  <si>
    <t>Curitiba</t>
  </si>
  <si>
    <t>Fortaleza</t>
  </si>
  <si>
    <t>Recife</t>
  </si>
  <si>
    <t>Porto Alegre</t>
  </si>
  <si>
    <t>Nova Iguaçu</t>
  </si>
  <si>
    <t>São Paulo</t>
  </si>
  <si>
    <t>Niterói</t>
  </si>
  <si>
    <t>Goiânia</t>
  </si>
  <si>
    <t>Guarulhos</t>
  </si>
  <si>
    <t>Campinas</t>
  </si>
  <si>
    <t>Lojas</t>
  </si>
  <si>
    <t>Loja</t>
  </si>
  <si>
    <t>Categoria</t>
  </si>
  <si>
    <t>UD01</t>
  </si>
  <si>
    <t>UD02</t>
  </si>
  <si>
    <t>UD03</t>
  </si>
  <si>
    <t>UD04</t>
  </si>
  <si>
    <t>UD05</t>
  </si>
  <si>
    <t>UD06</t>
  </si>
  <si>
    <t>UD07</t>
  </si>
  <si>
    <t>UD08</t>
  </si>
  <si>
    <t>UD09</t>
  </si>
  <si>
    <t>UD10</t>
  </si>
  <si>
    <t>UD11</t>
  </si>
  <si>
    <t>UD12</t>
  </si>
  <si>
    <t>UD13</t>
  </si>
  <si>
    <t>VA0411008TLVUD06</t>
  </si>
  <si>
    <t>VA0261006TLVUD13</t>
  </si>
  <si>
    <t>VA0241002CLRUD13</t>
  </si>
  <si>
    <t>VA0321013CAMUD10</t>
  </si>
  <si>
    <t>VA0321020CLRUD13</t>
  </si>
  <si>
    <t>VA0331013CAMUD01</t>
  </si>
  <si>
    <t>VA0501018SMWUD12</t>
  </si>
  <si>
    <t>VA0521002CLRUD01</t>
  </si>
  <si>
    <t>VA0321017TLVUD12</t>
  </si>
  <si>
    <t>VA0451004SMWUD13</t>
  </si>
  <si>
    <t>VA0061020CLRUD02</t>
  </si>
  <si>
    <t>VA0191010CLRUD06</t>
  </si>
  <si>
    <t>VA0491005CAMUD02</t>
  </si>
  <si>
    <t>VA0441007NTBUD06</t>
  </si>
  <si>
    <t>VA0141006TLVUD04</t>
  </si>
  <si>
    <t>VA0091010CLRUD06</t>
  </si>
  <si>
    <t>VA0501022TBLUD09</t>
  </si>
  <si>
    <t>VA0431013CAMUD09</t>
  </si>
  <si>
    <t>VA0211022TBLUD08</t>
  </si>
  <si>
    <t>VA0191013CAMUD10</t>
  </si>
  <si>
    <t>VA0281021CLRUD06</t>
  </si>
  <si>
    <t>VA0091023NTBUD02</t>
  </si>
  <si>
    <t>VA0031010CLRUD08</t>
  </si>
  <si>
    <t>VA0141012NTBUD05</t>
  </si>
  <si>
    <t>VA0321008TLVUD10</t>
  </si>
  <si>
    <t>VA0431004SMWUD02</t>
  </si>
  <si>
    <t>VA0101020CLRUD08</t>
  </si>
  <si>
    <t>VA0301004SMWUD12</t>
  </si>
  <si>
    <t>VA0381004SMWUD11</t>
  </si>
  <si>
    <t>VA0461016SMWUD04</t>
  </si>
  <si>
    <t>VA0381012NTBUD03</t>
  </si>
  <si>
    <t>VA0281003CLRUD04</t>
  </si>
  <si>
    <t>VA0041021CLRUD10</t>
  </si>
  <si>
    <t>VA0161013CAMUD11</t>
  </si>
  <si>
    <t>VA0371001TLVUD05</t>
  </si>
  <si>
    <t>VA0101015CAMUD04</t>
  </si>
  <si>
    <t>VA0041024NTBUD02</t>
  </si>
  <si>
    <t>VA0051014CLRUD04</t>
  </si>
  <si>
    <t>VA0181020CLRUD11</t>
  </si>
  <si>
    <t>VA0101016SMWUD02</t>
  </si>
  <si>
    <t>VA0501008TLVUD07</t>
  </si>
  <si>
    <t>VA0331014CLRUD04</t>
  </si>
  <si>
    <t>VA0021015CAMUD01</t>
  </si>
  <si>
    <t>VA0131011TBLUD10</t>
  </si>
  <si>
    <t>VA0421003CLRUD12</t>
  </si>
  <si>
    <t>VA0411020CLRUD02</t>
  </si>
  <si>
    <t>VA0311004SMWUD11</t>
  </si>
  <si>
    <t>VA0281019CLRUD10</t>
  </si>
  <si>
    <t>VA0011007NTBUD06</t>
  </si>
  <si>
    <t>VA0171024NTBUD12</t>
  </si>
  <si>
    <t>VA0191001TLVUD10</t>
  </si>
  <si>
    <t>VA0471019CLRUD03</t>
  </si>
  <si>
    <t>VA0091016SMWUD07</t>
  </si>
  <si>
    <t>VA0451012NTBUD10</t>
  </si>
  <si>
    <t>VA0131012NTBUD03</t>
  </si>
  <si>
    <t>VA0201010CLRUD01</t>
  </si>
  <si>
    <t>VA0131016SMWUD05</t>
  </si>
  <si>
    <t>VA0391018SMWUD07</t>
  </si>
  <si>
    <t>VA0441010CLRUD05</t>
  </si>
  <si>
    <t>VA0041013CAMUD08</t>
  </si>
  <si>
    <t>VA0011024NTBUD13</t>
  </si>
  <si>
    <t>VA0211005CAMUD01</t>
  </si>
  <si>
    <t>VA0151022TBLUD06</t>
  </si>
  <si>
    <t>VA0361005CAMUD06</t>
  </si>
  <si>
    <t>VA0381017TLVUD09</t>
  </si>
  <si>
    <t>VA0251005CAMUD07</t>
  </si>
  <si>
    <t>VA0461010CLRUD03</t>
  </si>
  <si>
    <t>VA0401018SMWUD05</t>
  </si>
  <si>
    <t>VA0051012NTBUD10</t>
  </si>
  <si>
    <t>VA0281013CAMUD07</t>
  </si>
  <si>
    <t>VA0461020CLRUD08</t>
  </si>
  <si>
    <t>VA0261002CLRUD06</t>
  </si>
  <si>
    <t>VA0121008TLVUD09</t>
  </si>
  <si>
    <t>VA0201015CAMUD06</t>
  </si>
  <si>
    <t>VA0181015CAMUD10</t>
  </si>
  <si>
    <t>VA0301005CAMUD07</t>
  </si>
  <si>
    <t>VA0461012NTBUD03</t>
  </si>
  <si>
    <t>VA0071015CAMUD11</t>
  </si>
  <si>
    <t>VA0341015CAMUD08</t>
  </si>
  <si>
    <t>VA0431008TLVUD08</t>
  </si>
  <si>
    <t>VA0281010CLRUD06</t>
  </si>
  <si>
    <t>VA0181012NTBUD05</t>
  </si>
  <si>
    <t>VA0131019CLRUD13</t>
  </si>
  <si>
    <t>VA0281021CLRUD13</t>
  </si>
  <si>
    <t>VA0021002CLRUD02</t>
  </si>
  <si>
    <t>VA0261011TBLUD10</t>
  </si>
  <si>
    <t>VA0181015CAMUD06</t>
  </si>
  <si>
    <t>VA0501006TLVUD09</t>
  </si>
  <si>
    <t>VA0031012NTBUD12</t>
  </si>
  <si>
    <t>VA0291002CLRUD13</t>
  </si>
  <si>
    <t>VA0471003CLRUD09</t>
  </si>
  <si>
    <t>VA0251008TLVUD07</t>
  </si>
  <si>
    <t>VA0011023NTBUD04</t>
  </si>
  <si>
    <t>VA0161024NTBUD12</t>
  </si>
  <si>
    <t>VA0461004SMWUD13</t>
  </si>
  <si>
    <t>VA0191014CLRUD10</t>
  </si>
  <si>
    <t>VA0481013CAMUD10</t>
  </si>
  <si>
    <t>VA0441017TLVUD07</t>
  </si>
  <si>
    <t>VA0031023NTBUD01</t>
  </si>
  <si>
    <t>VA0441010CLRUD13</t>
  </si>
  <si>
    <t>VA0281016SMWUD04</t>
  </si>
  <si>
    <t>VA0111021CLRUD03</t>
  </si>
  <si>
    <t>VA0171002CLRUD10</t>
  </si>
  <si>
    <t>VA0461003CLRUD04</t>
  </si>
  <si>
    <t>VA0091024NTBUD10</t>
  </si>
  <si>
    <t>VA0301013CAMUD01</t>
  </si>
  <si>
    <t>VA0121011TBLUD11</t>
  </si>
  <si>
    <t>VA0131023NTBUD06</t>
  </si>
  <si>
    <t>VA0071017TLVUD06</t>
  </si>
  <si>
    <t>VA0251015CAMUD01</t>
  </si>
  <si>
    <t>VA0211006TLVUD11</t>
  </si>
  <si>
    <t>VA0051023NTBUD10</t>
  </si>
  <si>
    <t>VA0301019CLRUD13</t>
  </si>
  <si>
    <t>VA0011021CLRUD11</t>
  </si>
  <si>
    <t>VA0211004SMWUD05</t>
  </si>
  <si>
    <t>VA0081006TLVUD13</t>
  </si>
  <si>
    <t>VA0411017TLVUD07</t>
  </si>
  <si>
    <t>VA0291012NTBUD09</t>
  </si>
  <si>
    <t>VA0471006TLVUD11</t>
  </si>
  <si>
    <t>VA0301024NTBUD06</t>
  </si>
  <si>
    <t>VA0491013CAMUD03</t>
  </si>
  <si>
    <t>VA0041003CLRUD01</t>
  </si>
  <si>
    <t>VA0501010CLRUD01</t>
  </si>
  <si>
    <t>VA0321020CLRUD08</t>
  </si>
  <si>
    <t>VA0021008TLVUD12</t>
  </si>
  <si>
    <t>VA0081011TBLUD10</t>
  </si>
  <si>
    <t>VA0321015CAMUD13</t>
  </si>
  <si>
    <t>VA0371002CLRUD05</t>
  </si>
  <si>
    <t>VA0131003CLRUD11</t>
  </si>
  <si>
    <t>VA0091012NTBUD08</t>
  </si>
  <si>
    <t>VA0191022TBLUD04</t>
  </si>
  <si>
    <t>VA0501003CLRUD06</t>
  </si>
  <si>
    <t>VA0111005CAMUD10</t>
  </si>
  <si>
    <t>VA0091009CLRUD07</t>
  </si>
  <si>
    <t>VA0041019CLRUD01</t>
  </si>
  <si>
    <t>VA0031012NTBUD11</t>
  </si>
  <si>
    <t>VA0011010CLRUD11</t>
  </si>
  <si>
    <t>VA0421004SMWUD03</t>
  </si>
  <si>
    <t>VA0391007NTBUD01</t>
  </si>
  <si>
    <t>VA0011019CLRUD01</t>
  </si>
  <si>
    <t>VA0301007NTBUD13</t>
  </si>
  <si>
    <t>VA0091019CLRUD02</t>
  </si>
  <si>
    <t>VA0451023NTBUD06</t>
  </si>
  <si>
    <t>VA0461008TLVUD07</t>
  </si>
  <si>
    <t>VA0281009CLRUD01</t>
  </si>
  <si>
    <t>VA0431005CAMUD12</t>
  </si>
  <si>
    <t>VA0431012NTBUD04</t>
  </si>
  <si>
    <t>VA0491004SMWUD04</t>
  </si>
  <si>
    <t>VA0381006TLVUD04</t>
  </si>
  <si>
    <t>VA0421014CLRUD13</t>
  </si>
  <si>
    <t>VA0381017TLVUD03</t>
  </si>
  <si>
    <t>VA0331023NTBUD05</t>
  </si>
  <si>
    <t>VA0121018SMWUD12</t>
  </si>
  <si>
    <t>VA0041019CLRUD12</t>
  </si>
  <si>
    <t>VA0401008TLVUD07</t>
  </si>
  <si>
    <t>VA0361012NTBUD13</t>
  </si>
  <si>
    <t>VA0451004SMWUD03</t>
  </si>
  <si>
    <t>VA0461014CLRUD04</t>
  </si>
  <si>
    <t>VA0151014CLRUD03</t>
  </si>
  <si>
    <t>VA0401014CLRUD05</t>
  </si>
  <si>
    <t>VA0261001TLVUD04</t>
  </si>
  <si>
    <t>VA0381008TLVUD13</t>
  </si>
  <si>
    <t>VA0351001TLVUD09</t>
  </si>
  <si>
    <t>VA0301006TLVUD09</t>
  </si>
  <si>
    <t>VA0311019CLRUD12</t>
  </si>
  <si>
    <t>VA0481002CLRUD09</t>
  </si>
  <si>
    <t>VA0331001TLVUD13</t>
  </si>
  <si>
    <t>VA0271017TLVUD11</t>
  </si>
  <si>
    <t>VA0351020CLRUD04</t>
  </si>
  <si>
    <t>VA0521017TLVUD02</t>
  </si>
  <si>
    <t>VA0431008TLVUD03</t>
  </si>
  <si>
    <t>VA0161008TLVUD05</t>
  </si>
  <si>
    <t>VA0041002CLRUD09</t>
  </si>
  <si>
    <t>VA0131001TLVUD01</t>
  </si>
  <si>
    <t>VA0091008TLVUD02</t>
  </si>
  <si>
    <t>VA0451003CLRUD13</t>
  </si>
  <si>
    <t>VA0351004SMWUD06</t>
  </si>
  <si>
    <t>VA0351021CLRUD05</t>
  </si>
  <si>
    <t>VA0171016SMWUD08</t>
  </si>
  <si>
    <t>VA0041015CAMUD01</t>
  </si>
  <si>
    <t>VA0491013CAMUD08</t>
  </si>
  <si>
    <t>VA0201017TLVUD09</t>
  </si>
  <si>
    <t>VA0051005CAMUD08</t>
  </si>
  <si>
    <t>VA0081002CLRUD07</t>
  </si>
  <si>
    <t>VA0221013CAMUD03</t>
  </si>
  <si>
    <t>VA0351017TLVUD07</t>
  </si>
  <si>
    <t>VA0051011TBLUD01</t>
  </si>
  <si>
    <t>VA0481006TLVUD10</t>
  </si>
  <si>
    <t>VA0011014CLRUD06</t>
  </si>
  <si>
    <t>VA0351003CLRUD06</t>
  </si>
  <si>
    <t>VA0441021CLRUD10</t>
  </si>
  <si>
    <t>VA0181003CLRUD02</t>
  </si>
  <si>
    <t>VA0411004SMWUD11</t>
  </si>
  <si>
    <t>VA0181020CLRUD13</t>
  </si>
  <si>
    <t>VA0231013CAMUD08</t>
  </si>
  <si>
    <t>VA0201008TLVUD10</t>
  </si>
  <si>
    <t>VA0041021CLRUD08</t>
  </si>
  <si>
    <t>VA0251018SMWUD13</t>
  </si>
  <si>
    <t>VA0021018SMWUD04</t>
  </si>
  <si>
    <t>VA0491003CLRUD06</t>
  </si>
  <si>
    <t>VA0021019CLRUD06</t>
  </si>
  <si>
    <t>VA0451024NTBUD04</t>
  </si>
  <si>
    <t>VA0501019CLRUD11</t>
  </si>
  <si>
    <t>VA0271018SMWUD09</t>
  </si>
  <si>
    <t>VA0131014CLRUD04</t>
  </si>
  <si>
    <t>VA0391002CLRUD12</t>
  </si>
  <si>
    <t>VA0091002CLRUD02</t>
  </si>
  <si>
    <t>VA0311019CLRUD08</t>
  </si>
  <si>
    <t>VA0131011TBLUD03</t>
  </si>
  <si>
    <t>VA0291019CLRUD09</t>
  </si>
  <si>
    <t>VA0091019CLRUD07</t>
  </si>
  <si>
    <t>VA0031021CLRUD04</t>
  </si>
  <si>
    <t>VA0271007NTBUD08</t>
  </si>
  <si>
    <t>VA0161010CLRUD08</t>
  </si>
  <si>
    <t>VA0511020CLRUD12</t>
  </si>
  <si>
    <t>VA0371015CAMUD06</t>
  </si>
  <si>
    <t>VA0431022TBLUD11</t>
  </si>
  <si>
    <t>VA0311004SMWUD12</t>
  </si>
  <si>
    <t>VA0501007NTBUD06</t>
  </si>
  <si>
    <t>VA0461015CAMUD02</t>
  </si>
  <si>
    <t>VA0111010CLRUD05</t>
  </si>
  <si>
    <t>VA0021013CAMUD12</t>
  </si>
  <si>
    <t>VA0011010CLRUD03</t>
  </si>
  <si>
    <t>VA0141015CAMUD03</t>
  </si>
  <si>
    <t>VA0481024NTBUD08</t>
  </si>
  <si>
    <t>VA0211024NTBUD13</t>
  </si>
  <si>
    <t>VA0261022TBLUD11</t>
  </si>
  <si>
    <t>VA0171001TLVUD02</t>
  </si>
  <si>
    <t>VA0451003CLRUD06</t>
  </si>
  <si>
    <t>VA0201005CAMUD07</t>
  </si>
  <si>
    <t>VA0171003CLRUD11</t>
  </si>
  <si>
    <t>VA0271015CAMUD10</t>
  </si>
  <si>
    <t>VA0311011TBLUD10</t>
  </si>
  <si>
    <t>VA0211001TLVUD12</t>
  </si>
  <si>
    <t>VA0301008TLVUD09</t>
  </si>
  <si>
    <t>VA0201018SMWUD01</t>
  </si>
  <si>
    <t>VA0061019CLRUD07</t>
  </si>
  <si>
    <t>VA0231003CLRUD07</t>
  </si>
  <si>
    <t>VA0201013CAMUD05</t>
  </si>
  <si>
    <t>VA0031001TLVUD02</t>
  </si>
  <si>
    <t>VA0101015CAMUD02</t>
  </si>
  <si>
    <t>VA0171008TLVUD12</t>
  </si>
  <si>
    <t>VA0061009CLRUD09</t>
  </si>
  <si>
    <t>VA0111007NTBUD01</t>
  </si>
  <si>
    <t>VA0241007NTBUD05</t>
  </si>
  <si>
    <t>VA0481011TBLUD09</t>
  </si>
  <si>
    <t>Número da Venda</t>
  </si>
  <si>
    <t>Código Venda</t>
  </si>
  <si>
    <t>Valor Total</t>
  </si>
  <si>
    <t>Unidades</t>
  </si>
  <si>
    <t>Produto</t>
  </si>
  <si>
    <t>Classe</t>
  </si>
  <si>
    <t>Filial</t>
  </si>
  <si>
    <t>H0980902_Elseve_Fábrica São Paulo</t>
  </si>
  <si>
    <t>H1437900_FRUCTIS_Fábrica São Paulo</t>
  </si>
  <si>
    <t>H0689701_Elseve_Fábrica São Paulo</t>
  </si>
  <si>
    <t>H1461700_Maybelline_Fábrica São Paulo</t>
  </si>
  <si>
    <t>H1150900_Elseve_Fábrica São Paulo</t>
  </si>
  <si>
    <t>H1436900_FRUCTIS_Fábrica São Paulo</t>
  </si>
  <si>
    <t>MP002808_Maybelline_Fábrica São Paulo</t>
  </si>
  <si>
    <t>H1436901_FRUCTIS_Fábrica São Paulo</t>
  </si>
  <si>
    <t>H1261300_Elseve_Fábrica São Paulo</t>
  </si>
  <si>
    <t>H14601_Elseve_Fábrica São Paulo</t>
  </si>
  <si>
    <t>H1545400_Giovanna Antonelli_Fábrica São Paulo</t>
  </si>
  <si>
    <t>H1433601_Esmaltes Colorama_Fábrica São Paulo</t>
  </si>
  <si>
    <t>H1300_Esmaltes Colorama_Fábrica São Paulo</t>
  </si>
  <si>
    <t>H0739500_Elseve_Fábrica São Paulo</t>
  </si>
  <si>
    <t>H1210900_FRUCTIS_Fábrica São Paulo</t>
  </si>
  <si>
    <t>H0570802_Elseve_Fábrica São Paulo</t>
  </si>
  <si>
    <t>MP006409_Maybelline_Fábrica São Paulo</t>
  </si>
  <si>
    <t>H1294100_Maybelline_Fábrica São Paulo</t>
  </si>
  <si>
    <t>H0945501_Elseve_Fábrica São Paulo</t>
  </si>
  <si>
    <t>H0734501_FRUCTIS_Fábrica São Paulo</t>
  </si>
  <si>
    <t>H1506100_Esmaltes Colorama_Fábrica São Paulo</t>
  </si>
  <si>
    <t>H0844200_FRUCTIS_Fábrica São Paulo</t>
  </si>
  <si>
    <t>H1279100_Esmaltes Colorama_Fábrica São Paulo</t>
  </si>
  <si>
    <t>H1396100_Maybelline_Fábrica São Paulo</t>
  </si>
  <si>
    <t>H0684001_Elseve_Fábrica São Paulo</t>
  </si>
  <si>
    <t>H1434001_Esmaltes Colorama_Fábrica São Paulo</t>
  </si>
  <si>
    <t>H0688700_Elseve_Fábrica São Paulo</t>
  </si>
  <si>
    <t>H0981700_Elseve_Fábrica São Paulo</t>
  </si>
  <si>
    <t>H1218301_Esmaltes Colorama_Fábrica São Paulo</t>
  </si>
  <si>
    <t>H0732900_FRUCTIS_Fábrica São Paulo</t>
  </si>
  <si>
    <t>H0733500_FRUCTIS_Fábrica São Paulo</t>
  </si>
  <si>
    <t>H1184500_Maybelline_Fábrica São Paulo</t>
  </si>
  <si>
    <t>H1186900_Maybelline_Fábrica São Paulo</t>
  </si>
  <si>
    <t>H0982100_Elseve_Fábrica São Paulo</t>
  </si>
  <si>
    <t>H1534300_Esmaltes Colorama_Fábrica São Paulo</t>
  </si>
  <si>
    <t>MP000603_Esmaltes Colorama_Fábrica São Paulo</t>
  </si>
  <si>
    <t>H0690701_Elseve_Fábrica São Paulo</t>
  </si>
  <si>
    <t>H1186100_Maybelline_Fábrica São Paulo</t>
  </si>
  <si>
    <t>H1326800_Elseve_Fábrica São Paulo</t>
  </si>
  <si>
    <t>H1326001_Elseve_Fábrica São Paulo</t>
  </si>
  <si>
    <t>H1324100_FRUCTIS_Fábrica São Paulo</t>
  </si>
  <si>
    <t>H0647001_Esmaltes Colorama_Fábrica São Paulo</t>
  </si>
  <si>
    <t>H0346601_Elseve_Fábrica São Paulo</t>
  </si>
  <si>
    <t>H1431401_Esmaltes Colorama_Fábrica São Paulo</t>
  </si>
  <si>
    <t>H1084401_Esmaltes Colorama_Fábrica São Paulo</t>
  </si>
  <si>
    <t>H1545200_Giovanna Antonelli_Fábrica São Paulo</t>
  </si>
  <si>
    <t>H1186200_Maybelline_Fábrica São Paulo</t>
  </si>
  <si>
    <t>H0482001_Esmaltes Colorama_Fábrica São Paulo</t>
  </si>
  <si>
    <t>H1395700_Maybelline_Fábrica São Paulo</t>
  </si>
  <si>
    <t>H1186500_Maybelline_Fábrica São Paulo</t>
  </si>
  <si>
    <t>H1437700_FRUCTIS_Fábrica São Paulo</t>
  </si>
  <si>
    <t>H0684201_Elseve_Fábrica São Paulo</t>
  </si>
  <si>
    <t>MP002810_Maybelline_Fábrica São Paulo</t>
  </si>
  <si>
    <t>H0150001_Esmaltes Colorama_Fábrica São Paulo</t>
  </si>
  <si>
    <t>H1180700_Maybelline_Fábrica São Paulo</t>
  </si>
  <si>
    <t>H1388400_Esmaltes Colorama_Fábrica São Paulo</t>
  </si>
  <si>
    <t>H0817001_Esmaltes Colorama_Fábrica São Paulo</t>
  </si>
  <si>
    <t>H1294300_Maybelline_Fábrica São Paulo</t>
  </si>
  <si>
    <t>H1182800_Maybelline_Fábrica São Paulo</t>
  </si>
  <si>
    <t>H1388600_Esmaltes Colorama_Fábrica São Paulo</t>
  </si>
  <si>
    <t>H1182400_Maybelline_Fábrica São Paulo</t>
  </si>
  <si>
    <t>H1187500_Maybelline_Fábrica São Paulo</t>
  </si>
  <si>
    <t>H1403901_FRUCTIS_Fábrica São Paulo</t>
  </si>
  <si>
    <t>H1387900_Esmaltes Colorama_Fábrica São Paulo</t>
  </si>
  <si>
    <t>H1433501_Esmaltes Colorama_Fábrica São Paulo</t>
  </si>
  <si>
    <t>H0744701_Esmaltes Colorama_Fábrica São Paulo</t>
  </si>
  <si>
    <t>H1504800_Esmaltes Colorama_Fábrica São Paulo</t>
  </si>
  <si>
    <t>H1181500_Maybelline_Fábrica São Paulo</t>
  </si>
  <si>
    <t>H0744801_Esmaltes Colorama_Fábrica São Paulo</t>
  </si>
  <si>
    <t>H1278100_Esmaltes Colorama_Fábrica São Paulo</t>
  </si>
  <si>
    <t>H1388800_Esmaltes Colorama_Fábrica São Paulo</t>
  </si>
  <si>
    <t>H1238900_Esmaltes Colorama_Fábrica São Paulo</t>
  </si>
  <si>
    <t>H1433800_Esmaltes Colorama_Fábrica São Paulo</t>
  </si>
  <si>
    <t>H0690900_Elseve_Fábrica São Paulo</t>
  </si>
  <si>
    <t>H0488302_Esmaltes Colorama_Fábrica São Paulo</t>
  </si>
  <si>
    <t>H1181200_Maybelline_Fábrica São Paulo</t>
  </si>
  <si>
    <t>H1421000_Maybelline_Fábrica São Paulo</t>
  </si>
  <si>
    <t>H1277400_Esmaltes Colorama_Fábrica São Paulo</t>
  </si>
  <si>
    <t>H1404501_FRUCTIS_Fábrica São Paulo</t>
  </si>
  <si>
    <t>MP001506_Maybelline_Fábrica São Paulo</t>
  </si>
  <si>
    <t>H1186800_Maybelline_Fábrica São Paulo</t>
  </si>
  <si>
    <t>H1183200_Maybelline_Fábrica São Paulo</t>
  </si>
  <si>
    <t>H1085000_Esmaltes Colorama_Fábrica São Paulo</t>
  </si>
  <si>
    <t>H0647301_Esmaltes Colorama_Fábrica São Paulo</t>
  </si>
  <si>
    <t>H1436700_FRUCTIS_Fábrica São Paulo</t>
  </si>
  <si>
    <t>H1436300_FRUCTIS_Fábrica São Paulo</t>
  </si>
  <si>
    <t>H1324700_FRUCTIS_Fábrica São Paulo</t>
  </si>
  <si>
    <t>H1428100_Esmaltes Colorama_Fábrica São Paulo</t>
  </si>
  <si>
    <t>H1433600_Esmaltes Colorama_Fábrica São Paulo</t>
  </si>
  <si>
    <t>H1187800_Maybelline_Fábrica São Paulo</t>
  </si>
  <si>
    <t>H1353400_Esmaltes Colorama_Fábrica São Paulo</t>
  </si>
  <si>
    <t>H1544700_Giovanna Antonelli_Fábrica São Paulo</t>
  </si>
  <si>
    <t>H1544800_Giovanna Antonelli_Fábrica São Paulo</t>
  </si>
  <si>
    <t>H1545000_Giovanna Antonelli_Fábrica São Paulo</t>
  </si>
  <si>
    <t>H1545100_Giovanna Antonelli_Fábrica São Paulo</t>
  </si>
  <si>
    <t>H1545300_Giovanna Antonelli_Fábrica São Paulo</t>
  </si>
  <si>
    <t>H1545500_Giovanna Antonelli_Fábrica São Paulo</t>
  </si>
  <si>
    <t>H0777300_Esmaltes Colorama_Fábrica São Paulo</t>
  </si>
  <si>
    <t>H0777800_Esmaltes Colorama_Fábrica São Paulo</t>
  </si>
  <si>
    <t>H1505000_Esmaltes Colorama_Fábrica São Paulo</t>
  </si>
  <si>
    <t>H0744501_Esmaltes Colorama_Fábrica São Paulo</t>
  </si>
  <si>
    <t>H1404300_FRUCTIS_Fábrica São Paulo</t>
  </si>
  <si>
    <t>H1403900_FRUCTIS_Fábrica São Paulo</t>
  </si>
  <si>
    <t>H0507701_Solar Expertise_Fábrica Rio de Janeiro</t>
  </si>
  <si>
    <t>H0880300_Maybelline_Fábrica Rio de Janeiro</t>
  </si>
  <si>
    <t>H0859000_Solar Expertise_Fábrica Rio de Janeiro</t>
  </si>
  <si>
    <t>H1426600_Elseve_Fábrica Rio de Janeiro</t>
  </si>
  <si>
    <t>H1426800_Elseve_Fábrica Rio de Janeiro</t>
  </si>
  <si>
    <t>H1149901_Elseve_Fábrica Rio de Janeiro</t>
  </si>
  <si>
    <t>H1150301_Elseve_Fábrica Rio de Janeiro</t>
  </si>
  <si>
    <t>H0891000_Maybelline_Fábrica Rio de Janeiro</t>
  </si>
  <si>
    <t>H1404901_Maybelline_Fábrica Rio de Janeiro</t>
  </si>
  <si>
    <t>H0887700_Maybelline_Fábrica Rio de Janeiro</t>
  </si>
  <si>
    <t>H1150100_Elseve_Fábrica Rio de Janeiro</t>
  </si>
  <si>
    <t>H0888200_Maybelline_Fábrica Rio de Janeiro</t>
  </si>
  <si>
    <t>H0887600_Maybelline_Fábrica Rio de Janeiro</t>
  </si>
  <si>
    <t>H0800_Maybelline_Fábrica Rio de Janeiro</t>
  </si>
  <si>
    <t>OP063528_Casting_Fábrica Rio de Janeiro</t>
  </si>
  <si>
    <t>H1197900_Maybelline_Fábrica Rio de Janeiro</t>
  </si>
  <si>
    <t>H0889600_Maybelline_Fábrica Rio de Janeiro</t>
  </si>
  <si>
    <t>H0898401_Maybelline_Fábrica Rio de Janeiro</t>
  </si>
  <si>
    <t>H1028000_OLIA_Fábrica Rio de Janeiro</t>
  </si>
  <si>
    <t>H0890900_Maybelline_Fábrica Rio de Janeiro</t>
  </si>
  <si>
    <t>H1028300_OLIA_Fábrica Rio de Janeiro</t>
  </si>
  <si>
    <t>H0880400_Maybelline_Fábrica Rio de Janeiro</t>
  </si>
  <si>
    <t>H0864401_Elseve_Fábrica Rio de Janeiro</t>
  </si>
  <si>
    <t>OP063524_Casting_Fábrica Rio de Janeiro</t>
  </si>
  <si>
    <t>H1028800_OLIA_Fábrica Rio de Janeiro</t>
  </si>
  <si>
    <t>H1467500_Elseve_Fábrica Rio de Janeiro</t>
  </si>
  <si>
    <t>H0888800_Maybelline_Fábrica Rio de Janeiro</t>
  </si>
  <si>
    <t>H0577301_Dermo-Expertise_Fábrica Rio de Janeiro</t>
  </si>
  <si>
    <t>H0737101_Dermo-Expertise_Fábrica Rio de Janeiro</t>
  </si>
  <si>
    <t>OP001800_Dermo-Expertise_Fábrica Rio de Janeiro</t>
  </si>
  <si>
    <t>H1197400_Maybelline_Fábrica Rio de Janeiro</t>
  </si>
  <si>
    <t>H1028100_OLIA_Fábrica Rio de Janeiro</t>
  </si>
  <si>
    <t>H0880200_Maybelline_Fábrica Rio de Janeiro</t>
  </si>
  <si>
    <t>H0082001_Dédicace_Fábrica Rio de Janeiro</t>
  </si>
  <si>
    <t>H1197402_Maybelline_Fábrica Rio de Janeiro</t>
  </si>
  <si>
    <t>H089670000_Maybelline_Fábrica Rio de Janeiro</t>
  </si>
  <si>
    <t>H0896500_Maybelline_Fábrica Rio de Janeiro</t>
  </si>
  <si>
    <t>H0889500_Maybelline_Fábrica Rio de Janeiro</t>
  </si>
  <si>
    <t>H0883600_Maybelline_Fábrica Rio de Janeiro</t>
  </si>
  <si>
    <t>H0883400_Maybelline_Fábrica Rio de Janeiro</t>
  </si>
  <si>
    <t>H0721200_Nutrisse Cor Intensa_Fábrica Rio de Janeiro</t>
  </si>
  <si>
    <t>K1049801_Maybelline_Fábrica Rio de Janeiro</t>
  </si>
  <si>
    <t>H0890200_Maybelline_Fábrica Rio de Janeiro</t>
  </si>
  <si>
    <t>H0896800_Maybelline_Fábrica Rio de Janeiro</t>
  </si>
  <si>
    <t>H1196700_Maybelline_Fábrica Rio de Janeiro</t>
  </si>
  <si>
    <t>H1206500_Elseve_Fábrica Rio de Janeiro</t>
  </si>
  <si>
    <t>H0889900_Maybelline_Fábrica Rio de Janeiro</t>
  </si>
  <si>
    <t>H11100_Maybelline_Fábrica Rio de Janeiro</t>
  </si>
  <si>
    <t>H0889800_Maybelline_Fábrica Rio de Janeiro</t>
  </si>
  <si>
    <t>H1551300_Maybelline_Fábrica Rio de Janeiro</t>
  </si>
  <si>
    <t>H0719701_Nutrisse Cor Intensa_Fábrica Rio de Janeiro</t>
  </si>
  <si>
    <t>H0880600_Maybelline_Fábrica Rio de Janeiro</t>
  </si>
  <si>
    <t>H1028400_OLIA_Fábrica Rio de Janeiro</t>
  </si>
  <si>
    <t>H0506502_Solar Expertise_Fábrica Rio de Janeiro</t>
  </si>
  <si>
    <t>H1196500_Maybelline_Fábrica Rio de Janeiro</t>
  </si>
  <si>
    <t>H1197401_Maybelline_Fábrica Rio de Janeiro</t>
  </si>
  <si>
    <t>H0890800_Maybelline_Fábrica Rio de Janeiro</t>
  </si>
  <si>
    <t>H0858800_Solar Expertise_Fábrica Rio de Janeiro</t>
  </si>
  <si>
    <t>H1027100_OLIA_Fábrica Rio de Janeiro</t>
  </si>
  <si>
    <t>A7882900_Solar Expertise_Fábrica Rio de Janeiro</t>
  </si>
  <si>
    <t>H1166300_Maybelline_Fábrica Rio de Janeiro</t>
  </si>
  <si>
    <t>H0506302_Solar Expertise_Fábrica Rio de Janeiro</t>
  </si>
  <si>
    <t>H1397500_Solar Expertise_Fábrica Rio de Janeiro</t>
  </si>
  <si>
    <t>H0721101_Nutrisse Cor Intensa_Fábrica Rio de Janeiro</t>
  </si>
  <si>
    <t>A5073013_Dermo-Expertise_Fábrica Rio de Janeiro</t>
  </si>
  <si>
    <t>H0719901_Nutrisse Cor Intensa_Fábrica Rio de Janeiro</t>
  </si>
  <si>
    <t>H1027800_OLIA_Fábrica Rio de Janeiro</t>
  </si>
  <si>
    <t>H0187205_NUTRISSE_Fábrica Rio de Janeiro</t>
  </si>
  <si>
    <t>H0721001_Nutrisse Cor Intensa_Fábrica Rio de Janeiro</t>
  </si>
  <si>
    <t>H0918201_BI-O_Fábrica Rio de Janeiro</t>
  </si>
  <si>
    <t>H0507501_Solar Expertise_Fábrica Rio de Janeiro</t>
  </si>
  <si>
    <t>H0190106_NUTRISSE_Fábrica Rio de Janeiro</t>
  </si>
  <si>
    <t>H0190305_NUTRISSE_Fábrica Rio de Janeiro</t>
  </si>
  <si>
    <t>H1212101_NUTRISSE_Fábrica Rio de Janeiro</t>
  </si>
  <si>
    <t>H1578600_NUTRISSE_Fábrica Rio de Janeiro</t>
  </si>
  <si>
    <t>H0721201_Nutrisse Cor Intensa_Fábrica Rio de Janeiro</t>
  </si>
  <si>
    <t>H1212401_Nutrisse Cor Intensa_Fábrica Rio de Janeiro</t>
  </si>
  <si>
    <t>H1391300_BI-O_Fábrica Rio de Janeiro</t>
  </si>
  <si>
    <t>H1463500_BI-O_Fábrica Rio de Janeiro</t>
  </si>
  <si>
    <t>H0917601_BI-O_Fábrica Rio de Janeiro</t>
  </si>
  <si>
    <t>H0917801_BI-O_Fábrica Rio de Janeiro</t>
  </si>
  <si>
    <t>H0918401_BI-O_Fábrica Rio de Janeiro</t>
  </si>
  <si>
    <t>H0084001_BI-O_Fábrica Rio de Janeiro</t>
  </si>
  <si>
    <t>H1391700_BI-O_Fábrica Rio de Janeiro</t>
  </si>
  <si>
    <t>H1463900_BI-O_Fábrica Rio de Janeiro</t>
  </si>
  <si>
    <t>H1028101_OLIA_Fábrica Rio de Janeiro</t>
  </si>
  <si>
    <t>H1404902_Maybelline_Fábrica Rio de Janeiro</t>
  </si>
  <si>
    <t>H1405702_Maybelline_Fábrica Rio de Janeiro</t>
  </si>
  <si>
    <t>H1196401_Maybelline_Fábrica Rio de Janeiro</t>
  </si>
  <si>
    <t>Nome,Sobrenome,Nome Completo,Data de Nascimento,Estado de Nascimento,DDD,Celular,CPF</t>
  </si>
  <si>
    <t>Rayssa,Valiate,Rayssa Valiate,32878,Bahia (BA),71,921679744,80230367981</t>
  </si>
  <si>
    <t>Hygor,Mateus,Hygor Mateus,31364,Goiás (GO),62,954043135,18857340905</t>
  </si>
  <si>
    <t>Dilson,Brandão,Dilson Brandão,32739,Espírito Santo (ES),27,909825530,32474050570</t>
  </si>
  <si>
    <t>Alvaro,Bretas,Alvaro Bretas,32523,Amapá (AP),96,946617185,73333289822</t>
  </si>
  <si>
    <t>Jéssica,Campos,Jéssica Campos,33853,Piauí (PI),86,929775335,73952936500</t>
  </si>
  <si>
    <t>Adriane,Amaral,Adriane Amaral,31978,Alagoas (AL),82,992446706,16281305651</t>
  </si>
  <si>
    <t>Isadora,Elisa,Isadora Elisa,31125,Acre (AC),68,948576145,12299325577</t>
  </si>
  <si>
    <t>Jefferson,Cavadas,Jefferson Cavadas,32314,Tocantins (TO),63,933027844,90877016844</t>
  </si>
  <si>
    <t>Iris,Hudson,Iris Hudson,33712,Maranhão (MA),98,942216405,9022118033</t>
  </si>
  <si>
    <t>Gizella,Rivero,Gizella Rivero,32738,Maranhão (MA),98,939451468,10560094376</t>
  </si>
  <si>
    <t>Zilma,Cassabian,Zilma Cassabian,34011,Paraíba (PB),83,940192383,10493910679</t>
  </si>
  <si>
    <t>Mariana,Felix,Mariana Felix,33926,Ceará (CE),88,901527421,87146253703</t>
  </si>
  <si>
    <t>Wesley,Mercês,Wesley Mercês,32063,Piauí (PI),86,993872650,40202746844</t>
  </si>
  <si>
    <t>Graziela,Marcio,Graziela Marcio,31199,Paraná (PR),41,923997232,13332363954</t>
  </si>
  <si>
    <t>Marisol,Monteiro,Marisol Monteiro,32965,Goiás (GO),62,970051595,7538867969</t>
  </si>
  <si>
    <t>Alecssander,Eduardo,Alecssander Eduardo,33168,Roraima (RR),95,983847686,97087153165</t>
  </si>
  <si>
    <t>Hugo,Medeiros,Hugo Medeiros,34277,Goiás (GO),62,968443268,59630228525</t>
  </si>
  <si>
    <t>Aledio,Rubim,Aledio Rubim,31605,Rondônia (RO),69,993925290,32484112204</t>
  </si>
  <si>
    <t>Cristiane,Fioravante,Cristiane Fioravante,33548,Rondônia (RO),69,915168994,69054842799</t>
  </si>
  <si>
    <t>Lívia,Leivyson,Lívia Leivyson,31559,Ceará (CE),88,940567772,50668939504</t>
  </si>
  <si>
    <t>Jose,Vilachã,Jose Vilachã,32275,Piauí (PI),86,992324924,97121205448</t>
  </si>
  <si>
    <t>Marcello,Magno,Marcello Magno,34047,Acre (AC),68,943665850,30453215545</t>
  </si>
  <si>
    <t>Ulisses,Carelli,Ulisses Carelli,33099,Maranhão (MA),98,978457502,3119221934</t>
  </si>
  <si>
    <t>Jo?o,Ghiorzi,Jo?o Ghiorzi,31325,Piauí (PI),86,931735206,32889593119</t>
  </si>
  <si>
    <t>Gleisy,Rodino,Gleisy Rodino,32360,Sergipe (SE),79,921230380,97112134533</t>
  </si>
  <si>
    <t>Karoline,Pacheco,Karoline Pacheco,33196,Mato Grosso do Sul (MS),84,927896505,36819538075</t>
  </si>
  <si>
    <t>Brenno,Pisani,Brenno Pisani,32980,Mato Grosso (MT),65,995304740,20065873959</t>
  </si>
  <si>
    <t>Lívia,Leivyson,Lívia Leivyson,32797,Maranhão (MA),98,947493638,36916508927</t>
  </si>
  <si>
    <t>Silvio,Kohn,Silvio Kohn,32215,Mato Grosso do Sul (MS),84,968414800,25269923115</t>
  </si>
  <si>
    <t>Renan,Nascimento,Renan Nascimento,33852,Pará (PA),91,944184729,87579041328</t>
  </si>
  <si>
    <t>Érica,Coelho,Érica Coelho,34325,Goiás (GO),62,955949458,4787724887</t>
  </si>
  <si>
    <t>Leandro,Fontenelle,Leandro Fontenelle,31477,Bahia (BA),71,915122505,75862432122</t>
  </si>
  <si>
    <t>Tayane,Cavalca,Tayane Cavalca,32845,Paraná (PR),41,991221681,98589591602</t>
  </si>
  <si>
    <t>Barbara,Baptista,Barbara Baptista,31719,Espírito Santo (ES),27,920668719,66985169887</t>
  </si>
  <si>
    <t>Ysabella,Nogueira,Ysabella Nogueira,34051,Santa Catarina (SC),48,906603954,84301030440</t>
  </si>
  <si>
    <t>Glenda,Duque,Glenda Duque,33048,Rio Grande do Norte (RN),84,946412449,33217384866</t>
  </si>
  <si>
    <t>Thamires,Akerman,Thamires Akerman,32770,Distrito Federal (DF),61,981720007,7923310879</t>
  </si>
  <si>
    <t>Rodolfo,Iane,Rodolfo Iane,34038,Amazonas (AM),92,910641218,41619593741</t>
  </si>
  <si>
    <t>Sabrina,Albuquerque,Sabrina Albuquerque,33118,São Paulo (SP),11,926142846,70914316635</t>
  </si>
  <si>
    <t>Diogo,Amor,Diogo Amor,32421,Pernambuco (PE),81,993765169,39661034243</t>
  </si>
  <si>
    <t>Daniele,Bogossian,Daniele Bogossian,34271,Paraíba (PB),83,989882612,36639195935</t>
  </si>
  <si>
    <t>Alberto,Comas,Alberto Comas,33966,Paraíba (PB),83,999460564,63908317286</t>
  </si>
  <si>
    <t>Thadeu,Vargas,Thadeu Vargas,31577,Distrito Federal (DF),61,959932281,34856691625</t>
  </si>
  <si>
    <t>Mauro,Dalila,Mauro Dalila,31657,Distrito Federal (DF),61,992242682,1560833502</t>
  </si>
  <si>
    <t>Gabriela,Cristine,Gabriela Cristine,32773,Amazonas (AM),92,930205453,98651650503</t>
  </si>
  <si>
    <t>Saranna,Brasil,Saranna Brasil,34149,Paraíba (PB),83,901139740,25575637388</t>
  </si>
  <si>
    <t>Izadora,Barroso,Izadora Barroso,32116,Rio Grande do Sul (RS),51,914310078,99213068972</t>
  </si>
  <si>
    <t>Maike,Melo,Maike Melo,31096,Minas Gerais (MG),31,984570190,91333862490</t>
  </si>
  <si>
    <t>Nathalie,Macedo,Nathalie Macedo,31641,Rio Grande do Sul (RS),51,932154836,83171452221</t>
  </si>
  <si>
    <t>Raíza,Azevedo,Raíza Azevedo,31086,Rio Grande do Norte (RN),84,925534918,802785982</t>
  </si>
  <si>
    <t>Giselia,Flavio,Giselia Flavio,32559,Mato Grosso do Sul (MS),84,980953036,35978897806</t>
  </si>
  <si>
    <t>Douglas,Lessa,Douglas Lessa,33197,Amazonas (AM),92,916781306,95298152137</t>
  </si>
  <si>
    <t>Hyago,Roberto,Hyago Roberto,32138,Paraíba (PB),83,974074696,49495209209</t>
  </si>
  <si>
    <t>Karina,Froufe,Karina Froufe,31902,Distrito Federal (DF),61,955524377,61535833420</t>
  </si>
  <si>
    <t>Liz,Rubio,Liz Rubio,33045,Bahia (BA),71,998919041,5874986026</t>
  </si>
  <si>
    <t>Ananda,Fernandez,Ananda Fernandez,33414,Tocantins (TO),63,964168161,75158805234</t>
  </si>
  <si>
    <t>Francyne,Fonseca,Francyne Fonseca,31980,Distrito Federal (DF),61,942000602,13495665581</t>
  </si>
  <si>
    <t>Micaele,Carneiro,Micaele Carneiro,32265,Distrito Federal (DF),61,917117039,59621582731</t>
  </si>
  <si>
    <t>Luís,Infante,Luís Infante,32376,São Paulo (SP),11,915799397,49614731155</t>
  </si>
  <si>
    <t>Cecília,Fernando,Cecília Fernando,33354,Acre (AC),68,959485061,45618917639</t>
  </si>
  <si>
    <t>Thaiz,Reyna,Thaiz Reyna,33065,Acre (AC),68,959391304,97132115164</t>
  </si>
  <si>
    <t>Isis,Silvestre,Isis Silvestre,32475,Espírito Santo (ES),27,997592875,24455472296</t>
  </si>
  <si>
    <t>José,Stockler,José Stockler,33752,Piauí (PI),86,965647216,86625806902</t>
  </si>
  <si>
    <t>Stela,Whitaker,Stela Whitaker,33198,Rio Grande do Norte (RN),84,906213317,41984756583</t>
  </si>
  <si>
    <t>Kallena,Barros,Kallena Barros,31247,Paraíba (PB),83,975317591,71397058144</t>
  </si>
  <si>
    <t>Sergio,Ognibene,Sergio Ognibene,34064,Santa Catarina (SC),48,904873149,3029608023</t>
  </si>
  <si>
    <t>Jonnathan,Dalforne,Jonnathan Dalforne,33349,São Paulo (SP),11,913973242,91838919874</t>
  </si>
  <si>
    <t>Drielly,Victório,Drielly Victório,32881,Alagoas (AL),82,962119836,2349241559</t>
  </si>
  <si>
    <t>Renato,Vannier,Renato Vannier,31763,Rio de Janeiro (RJ),21,948751718,13097336500</t>
  </si>
  <si>
    <t>Murillo,Spata,Murillo Spata,31366,Bahia (BA),71,934949694,29448102587</t>
  </si>
  <si>
    <t>Domenik,Portella,Domenik Portella,32476,Minas Gerais (MG),31,979414634,15886613685</t>
  </si>
  <si>
    <t>Denilton,Cardoso,Denilton Cardoso,31519,Alagoas (AL),82,938603791,40411012316</t>
  </si>
  <si>
    <t>Reinaldo,Silotti,Reinaldo Silotti,33464,Mato Grosso (MT),65,946456007,86451272384</t>
  </si>
  <si>
    <t>Rhanna,Lencastre,Rhanna Lencastre,32707,Acre (AC),68,936009657,73803158935</t>
  </si>
  <si>
    <t>Ananda,Fernandez,Ananda Fernandez,32073,Distrito Federal (DF),61,955659505,44255330882</t>
  </si>
  <si>
    <t>Ciro,Paulino,Ciro Paulino,33869,Espírito Santo (ES),27,986311538,10741485425</t>
  </si>
  <si>
    <t>Willian,Helena,Willian Helena,31247,Distrito Federal (DF),61,956888210,16812911610</t>
  </si>
  <si>
    <t>Rodney,Bernhardt,Rodney Bernhardt,32596,Mato Grosso (MT),65,997995290,68079604872</t>
  </si>
  <si>
    <t>Gizella,Rivero,Gizella Rivero,33960,Pernambuco (PE),81,968637993,12240189598</t>
  </si>
  <si>
    <t>Naiara,Nobili,Naiara Nobili,33579,Santa Catarina (SC),48,918880034,2824859995</t>
  </si>
  <si>
    <t>Jeter,Julia,Jeter Julia,31878,São Paulo (SP),11,944737980,56780104266</t>
  </si>
  <si>
    <t>Marcelle,Paixão,Marcelle Paixão,31161,Bahia (BA),71,953933599,80782403309</t>
  </si>
  <si>
    <t>Karen,Rabelo,Karen Rabelo,33946,Rio de Janeiro (RJ),21,913432281,82457817736</t>
  </si>
  <si>
    <t>Arnaldo,Barreto,Arnaldo Barreto,31674,Tocantins (TO),63,971409813,98113474381</t>
  </si>
  <si>
    <t>Alice,Tassara,Alice Tassara,33275,Bahia (BA),71,986012785,22818680939</t>
  </si>
  <si>
    <t>Emilaine,Serra,Emilaine Serra,31769,Rio Grande do Norte (RN),84,959031510,4724599146</t>
  </si>
  <si>
    <t>Ailton,Veloso,Ailton Veloso,32150,Rio de Janeiro (RJ),21,932793387,75775135874</t>
  </si>
  <si>
    <t>Natali,Sousa,Natali Sousa,33931,Distrito Federal (DF),61,966357985,49897500818</t>
  </si>
  <si>
    <t>Nickole,Provenzano,Nickole Provenzano,32315,Rio Grande do Norte (RN),84,933889686,17201086132</t>
  </si>
  <si>
    <t>Loreni,Rebello,Loreni Rebello,33677,Mato Grosso do Sul (MS),84,910092971,12629500943</t>
  </si>
  <si>
    <t>Luan,Farah,Luan Farah,33676,Alagoas (AL),82,960833171,48421380254</t>
  </si>
  <si>
    <t>Ylana,Russo,Ylana Russo,32185,Amapá (AP),96,913239569,71115718868</t>
  </si>
  <si>
    <t>Venan,Smolarek,Venan Smolarek,31504,Mato Grosso do Sul (MS),84,903127273,18309316900</t>
  </si>
  <si>
    <t>Lenon,Nobrega,Lenon Nobrega,31810,Alagoas (AL),82,913278527,89059133355</t>
  </si>
  <si>
    <t>Stella,Morais,Stella Morais,31831,Acre (AC),68,985962414,12269480599</t>
  </si>
  <si>
    <t>Jade,Florêncio,Jade Florêncio,34099,Acre (AC),68,921628029,32405009781</t>
  </si>
  <si>
    <t>Júlio,Mattos,Júlio Mattos,32988,Rio Grande do Norte (RN),84,981774876,80493139193</t>
  </si>
  <si>
    <t>Mariane,Bezerra,Mariane Bezerra,32863,Goiás (GO),62,938459167,24760919994</t>
  </si>
  <si>
    <t>Julyana,Fangueiro,Julyana Fangueiro,31792,Bahia (BA),71,962901759,28878441084</t>
  </si>
  <si>
    <t>Karine,Novarino,Karine Novarino,32903,Alagoas (AL),82,995663615,7096242769</t>
  </si>
  <si>
    <t>Eliane,Arthur,Eliane Arthur,31781,São Paulo (SP),11,936049453,56498265847</t>
  </si>
  <si>
    <t>Débora,Moraes,Débora Moraes,32924,Goiás (GO),62,963634551,85097601101</t>
  </si>
  <si>
    <t>Vittorio,Mizrahy,Vittorio Mizrahy,32251,Maranhão (MA),98,949183547,72956819451</t>
  </si>
  <si>
    <t>Cynthia,Tostes,Cynthia Tostes,34051,Alagoas (AL),82,972472145,26511642029</t>
  </si>
  <si>
    <t>Wagner,Marcolini,Wagner Marcolini,33227,Rio de Janeiro (RJ),21,973489383,5458568443</t>
  </si>
  <si>
    <t>Iago,Marendino,Iago Marendino,31246,Roraima (RR),95,976747026,67384033094</t>
  </si>
  <si>
    <t>Adailton,Paulo,Adailton Paulo,32334,Rio de Janeiro (RJ),21,921355620,26906670182</t>
  </si>
  <si>
    <t>Cláudia,Orind,Cláudia Orind,34030,Amapá (AP),96,991809496,4935534242</t>
  </si>
  <si>
    <t>Thayná,Balassiano,Thayná Balassiano,31352,Rio Grande do Norte (RN),84,946770569,85872989168</t>
  </si>
  <si>
    <t>Soraia,Troccoli,Soraia Troccoli,32017,Bahia (BA),71,916202245,39941122139</t>
  </si>
  <si>
    <t>Antônio,Moreira,Antônio Moreira,31454,Ceará (CE),88,976139857,24976984575</t>
  </si>
  <si>
    <t>Iasmim,Antônio,Iasmim Antônio,34299,Amazonas (AM),92,921269639,60365487450</t>
  </si>
  <si>
    <t>Jessica,Flávia,Jessica Flávia,32691,Bahia (BA),71,980346582,49167281010</t>
  </si>
  <si>
    <t>Michelle,Leticia,Michelle Leticia,32681,Sergipe (SE),79,972001323,76025380884</t>
  </si>
  <si>
    <t>Tadeu,Perim,Tadeu Perim,33567,Pernambuco (PE),81,960475072,74328541649</t>
  </si>
  <si>
    <t>Edjailma,Montenegro,Edjailma Montenegro,32787,Mato Grosso (MT),65,935063069,99585660655</t>
  </si>
  <si>
    <t>Sofia,Rebelo,Sofia Rebelo,33283,Amapá (AP),96,963531727,61539971407</t>
  </si>
  <si>
    <t>Lázaro,Falcão,Lázaro Falcão,33113,Bahia (BA),71,920491928,4319496270</t>
  </si>
  <si>
    <t>Vinicius,Abreu,Vinicius Abreu,33416,Paraná (PR),41,987540692,23220323860</t>
  </si>
  <si>
    <t>Graziela,Marcio,Graziela Marcio,32067,Paraná (PR),41,995584244,2623025860</t>
  </si>
  <si>
    <t>Ericka,Gallo,Ericka Gallo,34170,Acre (AC),68,953744088,51154569734</t>
  </si>
  <si>
    <t>Geam,Yudi,Geam Yudi,32914,Mato Grosso do Sul (MS),84,958709746,20158853121</t>
  </si>
  <si>
    <t>Aline,Eduarda,Aline Eduarda,32606,Acre (AC),68,903052225,13538797757</t>
  </si>
  <si>
    <t>Liara,Cavalcante,Liara Cavalcante,31710,Piauí (PI),86,930406757,41084036777</t>
  </si>
  <si>
    <t>Raissa,Menaged,Raissa Menaged,34288,Rio Grande do Sul (RS),51,988848293,32395952335</t>
  </si>
  <si>
    <t>Marcelo,Cardozo,Marcelo Cardozo,34269,Pará (PA),91,945973734,70560072824</t>
  </si>
  <si>
    <t>Jéssica,Campos,Jéssica Campos,31636,Piauí (PI),86,956144392,14715268515</t>
  </si>
  <si>
    <t>Helga,Zambrotti,Helga Zambrotti,31441,Rondônia (RO),69,973814077,91117835057</t>
  </si>
  <si>
    <t>Marina,Vilaça,Marina Vilaça,31294,Amazonas (AM),92,924331043,85039195019</t>
  </si>
  <si>
    <t>Anízio,Luiz,Anízio Luiz,33053,Goiás (GO),62,902039521,70699366469</t>
  </si>
  <si>
    <t>Luca,Semeraro,Luca Semeraro,32894,Paraná (PR),41,974130501,15287815335</t>
  </si>
  <si>
    <t>Rilson,Miehrig,Rilson Miehrig,31946,Amazonas (AM),92,917767833,52212966178</t>
  </si>
  <si>
    <t>Izadora,Barroso,Izadora Barroso,34064,Espírito Santo (ES),27,995897303,33558895619</t>
  </si>
  <si>
    <t>Daniella,Tkotz,Daniella Tkotz,32351,Goiás (GO),62,929554524,29605656135</t>
  </si>
  <si>
    <t>Giovanni,Furtado,Giovanni Furtado,32927,Mato Grosso (MT),65,974245488,15627750212</t>
  </si>
  <si>
    <t>Thomaz,Centurione,Thomaz Centurione,32215,Espírito Santo (ES),27,997720852,30524058610</t>
  </si>
  <si>
    <t>Ighor,Maia,Ighor Maia,32951,Santa Catarina (SC),48,929361047,78268398424</t>
  </si>
  <si>
    <t>Alessandra,Greici,Alessandra Greici,32973,Minas Gerais (MG),31,974704198,8143577785</t>
  </si>
  <si>
    <t>Arnaldo,Barreto,Arnaldo Barreto,31352,Paraná (PR),41,922675447,9405432572</t>
  </si>
  <si>
    <t>Leticia,Said,Leticia Said,33249,Paraíba (PB),83,910790314,50127065198</t>
  </si>
  <si>
    <t>Julia,Cossich,Julia Cossich,32419,Amapá (AP),96,933715053,63549075822</t>
  </si>
  <si>
    <t>Hygor,Mateus,Hygor Mateus,31378,Pará (PA),91,926082524,28448947345</t>
  </si>
  <si>
    <t>Ully,Miura,Ully Miura,31695,Mato Grosso (MT),65,999284355,82699407484</t>
  </si>
  <si>
    <t>Breno,Tavares,Breno Tavares,34321,Alagoas (AL),82,900273943,66270345160</t>
  </si>
  <si>
    <t>Iasmim,Antônio,Iasmim Antônio,33080,Distrito Federal (DF),61,955818032,69998970114</t>
  </si>
  <si>
    <t>Rodney,Bernhardt,Rodney Bernhardt,33863,Paraíba (PB),83,992875260,8651690055</t>
  </si>
  <si>
    <t>Nathália,Bailly,Nathália Bailly,33870,Rondônia (RO),69,993005829,93499874572</t>
  </si>
  <si>
    <t>Philipe,Motta,Philipe Motta,34282,Tocantins (TO),63,957701249,72487191839</t>
  </si>
  <si>
    <t>Hanna,Praxedes,Hanna Praxedes,33948,Mato Grosso do Sul (MS),84,952310142,88966410807</t>
  </si>
  <si>
    <t>Fellipe,Almeida,Fellipe Almeida,32543,Sergipe (SE),79,985071792,68814700506</t>
  </si>
  <si>
    <t>Breno,Tavares,Breno Tavares,33021,Piauí (PI),86,969626919,46610238787</t>
  </si>
  <si>
    <t>Jonathas,Carreira,Jonathas Carreira,33437,Mato Grosso do Sul (MS),84,989786535,38776398329</t>
  </si>
  <si>
    <t>Raíza,Azevedo,Raíza Azevedo,34159,Espírito Santo (ES),27,949656417,39679007143</t>
  </si>
  <si>
    <t>Joel,Amorim,Joel Amorim,33292,Rio Grande do Sul (RS),51,996420536,79761308602</t>
  </si>
  <si>
    <t>Thaís,Nemitz,Thaís Nemitz,34284,Amapá (AP),96,938250253,95038787097</t>
  </si>
  <si>
    <t>Tainah,Jalles,Tainah Jalles,32337,Tocantins (TO),63,938643296,62562970108</t>
  </si>
  <si>
    <t>Marcia,Filgueiras,Marcia Filgueiras,31993,Santa Catarina (SC),48,989073534,59564052461</t>
  </si>
  <si>
    <t>Vívian,Espinosa,Vívian Espinosa,33385,Ceará (CE),88,990528046,66192544276</t>
  </si>
  <si>
    <t>Leandro,Fontenelle,Leandro Fontenelle,32822,Maranhão (MA),98,983801509,68594828010</t>
  </si>
  <si>
    <t>Juliana,Louise,Juliana Louise,33910,Bahia (BA),71,940470885,70846433187</t>
  </si>
  <si>
    <t>Denilton,Cardoso,Denilton Cardoso,31498,Amazonas (AM),92,975050799,54408539861</t>
  </si>
  <si>
    <t>Andre,Carolina,Andre Carolina,33024,Amazonas (AM),92,968801970,94083401099</t>
  </si>
  <si>
    <t>Michelle,Leticia,Michelle Leticia,31214,Tocantins (TO),63,940883780,90538214373</t>
  </si>
  <si>
    <t>Renato,Vannier,Renato Vannier,32803,Paraíba (PB),83,960402392,18300166902</t>
  </si>
  <si>
    <t>Willian,Helena,Willian Helena,31245,Amazonas (AM),92,951806198,63713627511</t>
  </si>
  <si>
    <t>Arnôr,Tiradentes,Arnôr Tiradentes,32603,Rio Grande do Norte (RN),84,986682773,40565481010</t>
  </si>
  <si>
    <t>Vito,Ronfini,Vito Ronfini,31758,Rondônia (RO),69,978155191,21581722636</t>
  </si>
  <si>
    <t>Filippo,Suzano,Filippo Suzano,31700,Piauí (PI),86,996788975,7073738084</t>
  </si>
  <si>
    <t>Alexsandro,Andrade,Alexsandro Andrade,31282,Tocantins (TO),63,958456236,12638692341</t>
  </si>
  <si>
    <t>Olívia,Trinta,Olívia Trinta,32232,Tocantins (TO),63,969635764,87272207033</t>
  </si>
  <si>
    <t>Enrico,Diogo,Enrico Diogo,33715,Goiás (GO),62,993448970,88612700675</t>
  </si>
  <si>
    <t>Heitor,Lobo,Heitor Lobo,34186,Piauí (PI),86,948903322,82038064435</t>
  </si>
  <si>
    <t>Thainá,Arslanian,Thainá Arslanian,31998,Acre (AC),68,914584398,43444419467</t>
  </si>
  <si>
    <t>Thayna,Gracio,Thayna Gracio,33175,Espírito Santo (ES),27,993805028,22143265797</t>
  </si>
  <si>
    <t>Davi,Coimbra,Davi Coimbra,31134,Mato Grosso (MT),65,968850528,94054986399</t>
  </si>
  <si>
    <t>Thaiz,Reyna,Thaiz Reyna,31521,Piauí (PI),86,957888758,51108550946</t>
  </si>
  <si>
    <t>Athos,Eid,Athos Eid,32159,São Paulo (SP),11,940029019,65055506925</t>
  </si>
  <si>
    <t>Flávio,Almawi,Flávio Almawi,31242,Roraima (RR),95,917941465,92808895422</t>
  </si>
  <si>
    <t>Neilton,Guedes,Neilton Guedes,32947,Mato Grosso (MT),65,928379093,98369842717</t>
  </si>
  <si>
    <t>Mauricio,Mendes,Mauricio Mendes,31287,Santa Catarina (SC),48,904514247,86972782082</t>
  </si>
  <si>
    <t>David,Ontiveros,David Ontiveros,34262,Mato Grosso do Sul (MS),84,933902323,72985709116</t>
  </si>
  <si>
    <t>Tatiane,Rosolia,Tatiane Rosolia,31382,Amapá (AP),96,929561052,526762242</t>
  </si>
  <si>
    <t>Aledio,Rubim,Aledio Rubim,31502,Rio de Janeiro (RJ),21,903197908,30184631289</t>
  </si>
  <si>
    <t>Manuela,Sodré,Manuela Sodré,33435,Tocantins (TO),63,994299928,44663291508</t>
  </si>
  <si>
    <t>Thuany,Rodrigo,Thuany Rodrigo,33018,Piauí (PI),86,976808396,31493520834</t>
  </si>
  <si>
    <t>Edgard,Alves,Edgard Alves,31149,Ceará (CE),88,955248855,89084911</t>
  </si>
  <si>
    <t>Ciro,Paulino,Ciro Paulino,31157,Rio Grande do Norte (RN),84,928346934,52074539264</t>
  </si>
  <si>
    <t>Ricardo,Cisneiros,Ricardo Cisneiros,31881,Roraima (RR),95,932235191,58056008894</t>
  </si>
  <si>
    <t>Andrew,Leão,Andrew Leão,31242,Sergipe (SE),79,958162314,78149836179</t>
  </si>
  <si>
    <t>Christian,Arantes,Christian Arantes,32923,Amapá (AP),96,941570140,92072742196</t>
  </si>
  <si>
    <t>Rebecca,Couto,Rebecca Couto,33936,Alagoas (AL),82,942671691,48282899402</t>
  </si>
  <si>
    <t>Marianne,Pires,Marianne Pires,32782,Rio de Janeiro (RJ),21,945643807,22347232059</t>
  </si>
  <si>
    <t>César,Dourado,César Dourado,31139,São Paulo (SP),11,921212225,30392570684</t>
  </si>
  <si>
    <t>Jessika,La,Jessika La,34112,Piauí (PI),86,967457536,46231975453</t>
  </si>
  <si>
    <t>Andréia,Max,Andréia Max,32677,Goiás (GO),62,963751682,90414649355</t>
  </si>
  <si>
    <t>Rhanna,Lencastre,Rhanna Lencastre,32148,São Paulo (SP),11,967835371,77516955945</t>
  </si>
  <si>
    <t>Rubyson,Veríssimo,Rubyson Veríssimo,31160,Ceará (CE),88,945687909,10444673310</t>
  </si>
  <si>
    <t>Kim,Luisa,Kim Luisa,34092,Amazonas (AM),92,971760627,25228406523</t>
  </si>
  <si>
    <t>Thalles,Ziegler,Thalles Ziegler,33211,Ceará (CE),88,957947637,86051981895</t>
  </si>
  <si>
    <t>André,Augusto,André Augusto,31472,Goiás (GO),62,981565118,35482561620</t>
  </si>
  <si>
    <t>Andreza,Thamires,Andreza Thamires,32608,Rio de Janeiro (RJ),21,966756714,56628256948</t>
  </si>
  <si>
    <t>Juann,Freitas,Juann Freitas,33373,Pará (PA),91,996735269,10628712565</t>
  </si>
  <si>
    <t>Cinthia,Hermano,Cinthia Hermano,34064,Distrito Federal (DF),61,935335220,86168842576</t>
  </si>
  <si>
    <t>Iago,Marendino,Iago Marendino,32311,Amazonas (AM),92,952629429,9916129358</t>
  </si>
  <si>
    <t>Isabela,Cassia,Isabela Cassia,32165,Ceará (CE),88,971847956,49609813305</t>
  </si>
  <si>
    <t>Taís,Cerqueira,Taís Cerqueira,31207,Alagoas (AL),82,924360541,43703739719</t>
  </si>
  <si>
    <t>Raianne,Vanzo,Raianne Vanzo,34016,Minas Gerais (MG),31,962005729,81373354372</t>
  </si>
  <si>
    <t>Pietro,Queiroz,Pietro Queiroz,31234,Tocantins (TO),63,922437263,94484260641</t>
  </si>
  <si>
    <t>Sylvio,Gaspar,Sylvio Gaspar,32775,Rondônia (RO),69,943633968,81356345115</t>
  </si>
  <si>
    <t>Gabriela,Cristine,Gabriela Cristine,33270,Paraíba (PB),83,940553375,49969183072</t>
  </si>
  <si>
    <t>Gabriella,Ione,Gabriella Ione,31966,Maranhão (MA),98,949785949,11321336655</t>
  </si>
  <si>
    <t>Kimberly,Fontes,Kimberly Fontes,34077,Distrito Federal (DF),61,911630928,29008291902</t>
  </si>
  <si>
    <t>Suellen,Otavio,Suellen Otavio,32588,Goiás (GO),62,973140639,38962003096</t>
  </si>
  <si>
    <t>Thamiris,Marinho,Thamiris Marinho,32165,Maranhão (MA),98,982946723,61619665034</t>
  </si>
  <si>
    <t>Joyce,Renato,Joyce Renato,31557,Tocantins (TO),63,978399204,36855127241</t>
  </si>
  <si>
    <t>Thamiris,Marinho,Thamiris Marinho,33849,Pernambuco (PE),81,945035834,69369702675</t>
  </si>
  <si>
    <t>Julia,Cossich,Julia Cossich,31964,Maranhão (MA),98,963689614,68385410296</t>
  </si>
  <si>
    <t>Enrico,Diogo,Enrico Diogo,31912,Alagoas (AL),82,981041934,83792111386</t>
  </si>
  <si>
    <t>Taila,Li,Taila Li,34044,Amapá (AP),96,910060994,14011811670</t>
  </si>
  <si>
    <t>Manuela,Sodré,Manuela Sodré,33746,Paraíba (PB),83,914750218,56551393025</t>
  </si>
  <si>
    <t>Cassio,Ricardo,Cassio Ricardo,31757,Rondônia (RO),69,924623367,15233461124</t>
  </si>
  <si>
    <t>Vanessa,Fecha,Vanessa Fecha,34327,Goiás (GO),62,995662840,12009576472</t>
  </si>
  <si>
    <t>Isis,Silvestre,Isis Silvestre,32923,São Paulo (SP),11,934250166,18674662447</t>
  </si>
  <si>
    <t>Adrielle,Carrera,Adrielle Carrera,31817,Distrito Federal (DF),61,914452346,38550417805</t>
  </si>
  <si>
    <t>Nicolas,Ban,Nicolas Ban,32921,Amapá (AP),96,929352509,98408707051</t>
  </si>
  <si>
    <t>Ohana,Barboza,Ohana Barboza,32808,Rio de Janeiro (RJ),21,953842247,48759658918</t>
  </si>
  <si>
    <t>Willian,Helena,Willian Helena,31832,Distrito Federal (DF),61,905886983,78756049925</t>
  </si>
  <si>
    <t>Ravena,Varella,Ravena Varella,31657,Sergipe (SE),79,978868847,337194010</t>
  </si>
  <si>
    <t>Alon,Alana,Alon Alana,31551,Rio Grande do Sul (RS),51,903712089,43346732768</t>
  </si>
  <si>
    <t>Sebastião,José,Sebastião José,31450,Ceará (CE),88,920809152,42240916784</t>
  </si>
  <si>
    <t>Talissa,Nacif,Talissa Nacif,32322,Sergipe (SE),79,951648771,12032881456</t>
  </si>
  <si>
    <t>Samuel,Totti,Samuel Totti,31080,Paraíba (PB),83,945032861,65744060673</t>
  </si>
  <si>
    <t>Barbara,Baptista,Barbara Baptista,33262,Pernambuco (PE),81,927724489,29987199482</t>
  </si>
  <si>
    <t>Nicole,Velucci,Nicole Velucci,32364,Roraima (RR),95,997396040,96658133416</t>
  </si>
  <si>
    <t>Luísa,Heleno,Luísa Heleno,31422,Maranhão (MA),98,965159988,29935981880</t>
  </si>
  <si>
    <t>Rafaella,Gameiro,Rafaella Gameiro,31629,Mato Grosso (MT),65,984544301,95731278079</t>
  </si>
  <si>
    <t>Stela,Whitaker,Stela Whitaker,34006,Alagoas (AL),82,911916360,26977517111</t>
  </si>
  <si>
    <t>Vivian,Neves,Vivian Neves,33224,Sergipe (SE),79,954599974,41492622490</t>
  </si>
  <si>
    <t>César,Dourado,César Dourado,32182,Acre (AC),68,984387970,95655722996</t>
  </si>
  <si>
    <t>Julia,Cossich,Julia Cossich,33932,Distrito Federal (DF),61,955097483,7900994669</t>
  </si>
  <si>
    <t>Julio,Teles,Julio Teles,31087,Alagoas (AL),82,908116158,93625131551</t>
  </si>
  <si>
    <t>Maurício,Emmerick,Maurício Emmerick,31444,Acre (AC),68,914576870,52384094400</t>
  </si>
  <si>
    <t>Samuel,Totti,Samuel Totti,33232,Goiás (GO),62,971464766,52218219889</t>
  </si>
  <si>
    <t>Cézar,Barbosa,Cézar Barbosa,32796,Alagoas (AL),82,975933380,28709737300</t>
  </si>
  <si>
    <t>Sarah,Gerhad,Sarah Gerhad,32519,Pará (PA),91,952197751,63030323173</t>
  </si>
  <si>
    <t>Carina,Clara,Carina Clara,33239,Rondônia (RO),69,964938219,32905026726</t>
  </si>
  <si>
    <t>Elaine,Caroline,Elaine Caroline,32228,Amapá (AP),96,989054201,60461455556</t>
  </si>
  <si>
    <t>Ramon,Ávila,Ramon Ávila,33773,Rondônia (RO),69,974492899,54073026668</t>
  </si>
  <si>
    <t>Raiza,Póvoa,Raiza Póvoa,34322,Piauí (PI),86,937892975,10907408516</t>
  </si>
  <si>
    <t>Naiara,Nobili,Naiara Nobili,31964,Sergipe (SE),79,983284110,45471588965</t>
  </si>
  <si>
    <t>Jamile,Jardim,Jamile Jardim,32241,Espírito Santo (ES),27,943940405,71363271642</t>
  </si>
  <si>
    <t>Norman,Villela,Norman Villela,33634,Rio Grande do Norte (RN),84,936217032,80242448866</t>
  </si>
  <si>
    <t>Bárbara,Braga,Bárbara Braga,31671,Sergipe (SE),79,922731991,85751567179</t>
  </si>
  <si>
    <t>Joao,Azeredo,Joao Azeredo,32474,Paraíba (PB),83,958576625,4704371106</t>
  </si>
  <si>
    <t>Kallena,Barros,Kallena Barros,33885,Rio Grande do Sul (RS),51,917225879,72791229037</t>
  </si>
  <si>
    <t>Gleydson,Godinho,Gleydson Godinho,32467,Amapá (AP),96,906228563,84519726154</t>
  </si>
  <si>
    <t>Alex,Paes,Alex Paes,33963,Alagoas (AL),82,981183839,54277080737</t>
  </si>
  <si>
    <t>Thays,Thome,Thays Thome,33671,Ceará (CE),88,998488480,11764743802</t>
  </si>
  <si>
    <t>Higor,Osman,Higor Osman,32709,Pará (PA),91,976830931,51369292230</t>
  </si>
  <si>
    <t>Yohanan,Barrionuevo,Yohanan Barrionuevo,32073,Paraná (PR),41,934291373,83285466327</t>
  </si>
  <si>
    <t>Silvio,Kohn,Silvio Kohn,33547,Minas Gerais (MG),31,911945566,51014904079</t>
  </si>
  <si>
    <t>Myllena,Cruz,Myllena Cruz,34330,Alagoas (AL),82,964548285,61131083226</t>
  </si>
  <si>
    <t>Alecssander,Eduardo,Alecssander Eduardo,33921,São Paulo (SP),11,926733712,73857107611</t>
  </si>
  <si>
    <t>Hiago,Chagas,Hiago Chagas,31337,Mato Grosso (MT),65,956746707,52699362922</t>
  </si>
  <si>
    <t>Rubyson,Veríssimo,Rubyson Veríssimo,31937,Mato Grosso do Sul (MS),84,920681416,71578823470</t>
  </si>
  <si>
    <t>Nicolas,Ban,Nicolas Ban,32664,Paraná (PR),41,926787214,43159475692</t>
  </si>
  <si>
    <t>Jessica,Flávia,Jessica Flávia,31106,Acre (AC),68,965879663,99694235984</t>
  </si>
  <si>
    <t>Ludmila,Guimarães,Ludmila Guimarães,31488,Mato Grosso do Sul (MS),84,904190181,42059002157</t>
  </si>
  <si>
    <t>Thamara,Rotava,Thamara Rotava,31914,Tocantins (TO),63,967057364,21137204771</t>
  </si>
  <si>
    <t>Jamile,Jardim,Jamile Jardim,33136,Mato Grosso (MT),65,966115647,49814084280</t>
  </si>
  <si>
    <t>Sandy,Garambone,Sandy Garambone,31412,Piauí (PI),86,978921046,9550051417</t>
  </si>
  <si>
    <t>Silvana,Castello,Silvana Castello,33654,Rio Grande do Sul (RS),51,950130293,62961426892</t>
  </si>
  <si>
    <t>Maciela,Freixo,Maciela Freixo,32846,Pernambuco (PE),81,917360133,37700653754</t>
  </si>
  <si>
    <t>Breno,Tavares,Breno Tavares,33336,Espírito Santo (ES),27,954852691,12666435295</t>
  </si>
  <si>
    <t>Nina,Faria,Nina Faria,31945,Piauí (PI),86,975453801,21084721568</t>
  </si>
  <si>
    <t>Nattalya,Lobato,Nattalya Lobato,34228,Roraima (RR),95,982633161,20423422617</t>
  </si>
  <si>
    <t>Adrian,Torres,Adrian Torres,32773,Pará (PA),91,954906380,39408217108</t>
  </si>
  <si>
    <t>Marianne,Pires,Marianne Pires,31814,Pernambuco (PE),81,960525564,87027846586</t>
  </si>
  <si>
    <t>Elisa,Aragão,Elisa Aragão,32192,Paraíba (PB),83,981790919,48885567984</t>
  </si>
  <si>
    <t>Julianna,Sérgius,Julianna Sérgius,31699,Minas Gerais (MG),31,916779264,40453159423</t>
  </si>
  <si>
    <t>Mayara,Victor,Mayara Victor,34296,Alagoas (AL),82,967356663,33672485869</t>
  </si>
  <si>
    <t>Jade,Florêncio,Jade Florêncio,33051,Amapá (AP),96,948818098,88326065635</t>
  </si>
  <si>
    <t>Geani,Francisco,Geani Francisco,33847,Mato Grosso (MT),65,919163308,14892027074</t>
  </si>
  <si>
    <t>Giuseppe,Monte,Giuseppe Monte,33882,Sergipe (SE),79,931218281,58333114933</t>
  </si>
  <si>
    <t>Daniele,Bogossian,Daniele Bogossian,33845,Bahia (BA),71,971588236,30880590099</t>
  </si>
  <si>
    <t>Isabela,Cassia,Isabela Cassia,32284,Santa Catarina (SC),48,922238505,33724737601</t>
  </si>
  <si>
    <t>Sara,Abramovitz,Sara Abramovitz,32090,Minas Gerais (MG),31,902892340,34155722818</t>
  </si>
  <si>
    <t>Marina,Vilaça,Marina Vilaça,33790,Alagoas (AL),82,992777503,50984783590</t>
  </si>
  <si>
    <t>Andressa,Ramos,Andressa Ramos,33397,Bahia (BA),71,937669876,12272897862</t>
  </si>
  <si>
    <t>Anna,Rey,Anna Rey,32314,Minas Gerais (MG),31,944485831,17545015311</t>
  </si>
  <si>
    <t>Wesley,Mercês,Wesley Mercês,32657,Maranhão (MA),98,976279953,17934287425</t>
  </si>
  <si>
    <t>Paula,César,Paula César,33555,Espírito Santo (ES),27,942574100,1522545782</t>
  </si>
  <si>
    <t>Leon,Bento,Leon Bento,33548,Rio Grande do Norte (RN),84,994711032,39581731774</t>
  </si>
  <si>
    <t>Thainá,Arslanian,Thainá Arslanian,31281,Rio Grande do Sul (RS),51,985235245,59442454439</t>
  </si>
  <si>
    <t>Flávio,Almawi,Flávio Almawi,33710,Distrito Federal (DF),61,987345993,22977934893</t>
  </si>
  <si>
    <t>Raul,Halinck,Raul Halinck,33409,São Paulo (SP),11,984474578,18427636472</t>
  </si>
  <si>
    <t>Carlos,Pereira,Carlos Pereira,31516,Goiás (GO),62,967167413,87145244385</t>
  </si>
  <si>
    <t>Cícero,dos,Cícero dos,32044,Espírito Santo (ES),27,902259841,75217926339</t>
  </si>
  <si>
    <t>Gabriel,Aguiar,Gabriel Aguiar,32873,Pará (PA),91,900677411,44671522152</t>
  </si>
  <si>
    <t>Júlio,Mattos,Júlio Mattos,31709,Santa Catarina (SC),48,969336168,53236204268</t>
  </si>
  <si>
    <t>Matheus,Magalhães,Matheus Magalhães,32410,Espírito Santo (ES),27,961432213,20377637922</t>
  </si>
  <si>
    <t>Julia,Cossich,Julia Cossich,33259,Goiás (GO),62,975367918,21031612984</t>
  </si>
  <si>
    <t>Sawlo,Huon,Sawlo Huon,31400,Tocantins (TO),63,971098017,99024275897</t>
  </si>
  <si>
    <t>Raísa,Naveiro,Raísa Naveiro,33691,Rio Grande do Sul (RS),51,987145592,79617182117</t>
  </si>
  <si>
    <t>Carlos,Pereira,Carlos Pereira,32436,Bahia (BA),71,995030351,67203674337</t>
  </si>
  <si>
    <t>Nathalia,Esquenazi,Nathalia Esquenazi,33162,Paraíba (PB),83,912298315,11371938599</t>
  </si>
  <si>
    <t>Sergio,Ognibene,Sergio Ognibene,33971,Bahia (BA),71,985832013,14144715160</t>
  </si>
  <si>
    <t>Murilo,Jose,Murilo Jose,31524,Piauí (PI),86,940707350,99336506559</t>
  </si>
  <si>
    <t>Nathália,Bailly,Nathália Bailly,33074,Santa Catarina (SC),48,905899263,58595279718</t>
  </si>
  <si>
    <t>Vívian,Espinosa,Vívian Espinosa,33980,Bahia (BA),71,919191987,85101313910</t>
  </si>
  <si>
    <t>Jeronimo,Francisca,Jeronimo Francisca,31636,Rio de Janeiro (RJ),21,964998365,29343882751</t>
  </si>
  <si>
    <t>Joao,Azeredo,Joao Azeredo,32641,Acre (AC),68,944540607,53002380466</t>
  </si>
  <si>
    <t>Raul,Halinck,Raul Halinck,33662,Paraíba (PB),83,923319277,6536744712</t>
  </si>
  <si>
    <t>Sara,Abramovitz,Sara Abramovitz,32977,Rio Grande do Sul (RS),51,912757757,19317786987</t>
  </si>
  <si>
    <t>Alexandra,de,Alexandra de,31981,Paraná (PR),41,902410986,83370393686</t>
  </si>
  <si>
    <t>Natalia,Jordania,Natalia Jordania,32587,Paraná (PR),41,906314669,33929202363</t>
  </si>
  <si>
    <t>Gisely,Fagundes,Gisely Fagundes,33713,Mato Grosso do Sul (MS),84,978783203,70418426398</t>
  </si>
  <si>
    <t>Alan,Lund,Alan Lund,32590,Acre (AC),68,998450140,3242394215</t>
  </si>
  <si>
    <t>Naiara,Nobili,Naiara Nobili,32101,Rio Grande do Sul (RS),51,969662890,13060169232</t>
  </si>
  <si>
    <t>Denilton,Cardoso,Denilton Cardoso,31256,Piauí (PI),86,921502842,82699168629</t>
  </si>
  <si>
    <t>Helton,Flores,Helton Flores,31735,Maranhão (MA),98,959430428,26864969293</t>
  </si>
  <si>
    <t>Thaisa,Rosario,Thaisa Rosario,32163,Pernambuco (PE),81,984692967,32938132904</t>
  </si>
  <si>
    <t>Juann,Freitas,Juann Freitas,31394,Rondônia (RO),69,940966448,23274700597</t>
  </si>
  <si>
    <t>Valmir,Lisboa,Valmir Lisboa,32514,Piauí (PI),86,991759543,57258944446</t>
  </si>
  <si>
    <t>Ysabella,Nogueira,Ysabella Nogueira,33242,Mato Grosso (MT),65,996364071,8814973295</t>
  </si>
  <si>
    <t>Karline,Essaber,Karline Essaber,32566,Piauí (PI),86,998751432,39723972528</t>
  </si>
  <si>
    <t>Raísa,Naveiro,Raísa Naveiro,33580,Bahia (BA),71,926647805,773662354</t>
  </si>
  <si>
    <t>Mateus,Ladogano,Mateus Ladogano,33310,Acre (AC),68,916447017,35369122583</t>
  </si>
  <si>
    <t>Julliana,Carvalhal,Julliana Carvalhal,32084,Roraima (RR),95,994170981,50317705790</t>
  </si>
  <si>
    <t>Yuske,Rosales,Yuske Rosales,31243,Minas Gerais (MG),31,983070554,86061354969</t>
  </si>
  <si>
    <t>Arnôr,Tiradentes,Arnôr Tiradentes,34309,Goiás (GO),62,981177529,7887327811</t>
  </si>
  <si>
    <t>Marisol,Monteiro,Marisol Monteiro,32102,Paraíba (PB),83,925178766,10523417063</t>
  </si>
  <si>
    <t>Thadeu,Vargas,Thadeu Vargas,31971,Tocantins (TO),63,998772962,6823915658</t>
  </si>
  <si>
    <t>Vivianne,Arineli,Vivianne Arineli,33907,Goiás (GO),62,998747913,27285182924</t>
  </si>
  <si>
    <t>Izabel,Fogacia,Izabel Fogacia,33283,São Paulo (SP),11,954112076,243319743</t>
  </si>
  <si>
    <t>Anderson,da,Anderson da,33639,Acre (AC),68,969234038,8313163274</t>
  </si>
  <si>
    <t>Marco,Roças,Marco Roças,33444,Espírito Santo (ES),27,905204593,54338923315</t>
  </si>
  <si>
    <t>Julyana,Fangueiro,Julyana Fangueiro,32431,Santa Catarina (SC),48,930896799,16924160066</t>
  </si>
  <si>
    <t>Julie,Piero,Julie Piero,33237,Pernambuco (PE),81,963118916,27716205295</t>
  </si>
  <si>
    <t>Jeane,Williams,Jeane Williams,31435,Acre (AC),68,958199507,81792770507</t>
  </si>
  <si>
    <t>Tomas,Palha,Tomas Palha,32616,Paraná (PR),41,974595513,92803313056</t>
  </si>
  <si>
    <t>Amanda,Bastos,Amanda Bastos,32479,Amazonas (AM),92,973378374,72579064598</t>
  </si>
  <si>
    <t>Tatiana,Mac,Tatiana Mac,32647,Alagoas (AL),82,944858531,72864413972</t>
  </si>
  <si>
    <t>Venan,Smolarek,Venan Smolarek,33236,Mato Grosso (MT),65,911669582,55468710353</t>
  </si>
  <si>
    <t>Vinícius,Madrid,Vinícius Madrid,32620,Acre (AC),68,929117568,28409791114</t>
  </si>
  <si>
    <t>Ulisses,Carelli,Ulisses Carelli,31447,Santa Catarina (SC),48,999856838,17992124104</t>
  </si>
  <si>
    <t>Yasser,Tsuyoshi,Yasser Tsuyoshi,31905,Pará (PA),91,929532355,8919284707</t>
  </si>
  <si>
    <t>Leandro,Fontenelle,Leandro Fontenelle,33551,Amazonas (AM),92,963515527,93549021994</t>
  </si>
  <si>
    <t>Sebastião,José,Sebastião José,31253,Rondônia (RO),69,915134153,33148634804</t>
  </si>
  <si>
    <t>Fátima,Garcia,Fátima Garcia,32139,Distrito Federal (DF),61,983303026,13550334462</t>
  </si>
  <si>
    <t>Sandro,Vaz,Sandro Vaz,31161,Espírito Santo (ES),27,995241937,84988022531</t>
  </si>
  <si>
    <t>Francyne,Fonseca,Francyne Fonseca,31419,Paraíba (PB),83,922335244,92321654989</t>
  </si>
  <si>
    <t>Marília,Santana,Marília Santana,33233,Acre (AC),68,920698867,65250029934</t>
  </si>
  <si>
    <t>Davi,Coimbra,Davi Coimbra,33099,Amapá (AP),96,998805060,74080153238</t>
  </si>
  <si>
    <t>Constantino,Carvalho,Constantino Carvalho,31139,São Paulo (SP),11,994690885,67876014456</t>
  </si>
  <si>
    <t>Tomas,Palha,Tomas Palha,32556,Maranhão (MA),98,944361998,1040001332</t>
  </si>
  <si>
    <t>Adrizia,Balbi,Adrizia Balbi,31935,Bahia (BA),71,995811340,36541866644</t>
  </si>
  <si>
    <t>Thayane,Menezes,Thayane Menezes,32001,Pará (PA),91,942552208,93354515239</t>
  </si>
  <si>
    <t>Adriane,Amaral,Adriane Amaral,31595,Piauí (PI),86,997791481,13904866873</t>
  </si>
  <si>
    <t>Stela,Whitaker,Stela Whitaker,32883,Amazonas (AM),92,930497321,88245615008</t>
  </si>
  <si>
    <t>Marcos,Paula,Marcos Paula,31918,Santa Catarina (SC),48,954704900,77006921066</t>
  </si>
  <si>
    <t>Thamires,Akerman,Thamires Akerman,33278,Distrito Federal (DF),61,962949731,535747616</t>
  </si>
  <si>
    <t>Emanuella,Soares,Emanuella Soares,31971,Roraima (RR),95,940663446,83556239676</t>
  </si>
  <si>
    <t>Raiam,Crespo,Raiam Crespo,31781,Mato Grosso (MT),65,975870734,1518551759</t>
  </si>
  <si>
    <t>Roberto,Malavolti,Roberto Malavolti,33490,Rio de Janeiro (RJ),21,914633198,80380575694</t>
  </si>
  <si>
    <t>Yve,Dória,Yve Dória,33491,Distrito Federal (DF),61,992522632,6552150606</t>
  </si>
  <si>
    <t>Eduardo,Stellet,Eduardo Stellet,32893,Distrito Federal (DF),61,935906569,91370114352</t>
  </si>
  <si>
    <t>Marcio,Miguel,Marcio Miguel,32225,Ceará (CE),88,911218133,28643771591</t>
  </si>
  <si>
    <t>Willian,Helena,Willian Helena,33897,Pernambuco (PE),81,949175012,20861938200</t>
  </si>
  <si>
    <t>Cristiane,Fioravante,Cristiane Fioravante,33708,Minas Gerais (MG),31,950213676,75363697704</t>
  </si>
  <si>
    <t>Francisco,Siqueira,Francisco Siqueira,32577,Minas Gerais (MG),31,916773948,19472215423</t>
  </si>
  <si>
    <t>Samuel,Totti,Samuel Totti,33548,Amazonas (AM),92,922891202,41271338287</t>
  </si>
  <si>
    <t>Artur,Felipe,Artur Felipe,33161,Acre (AC),68,955433416,14557487320</t>
  </si>
  <si>
    <t>Marcus,Taylor,Marcus Taylor,31874,Pernambuco (PE),81,973357079,59008879592</t>
  </si>
  <si>
    <t>Ana,Carmo,Ana Carmo,31838,Bahia (BA),71,976475673,73510696081</t>
  </si>
  <si>
    <t>Pedro,Scandiuzzi,Pedro Scandiuzzi,32152,Paraíba (PB),83,985849239,29243845936</t>
  </si>
  <si>
    <t>Ruan,Vilhena,Ruan Vilhena,32581,Rio Grande do Sul (RS),51,928020766,12834162056</t>
  </si>
  <si>
    <t>Tadeu,Perim,Tadeu Perim,32184,Rondônia (RO),69,985151072,90763802976</t>
  </si>
  <si>
    <t>Tainah,Jalles,Tainah Jalles,32178,Mato Grosso (MT),65,948816165,89227480182</t>
  </si>
  <si>
    <t>Maciela,Freixo,Maciela Freixo,31715,Minas Gerais (MG),31,906736541,3016941123</t>
  </si>
  <si>
    <t>Evelyn,Borba,Evelyn Borba,31854,Espírito Santo (ES),27,963367532,12904615740</t>
  </si>
  <si>
    <t>Victória,Mosqueira,Victória Mosqueira,33271,Espírito Santo (ES),27,996039645,51071317309</t>
  </si>
  <si>
    <t>Thaisa,Rosario,Thaisa Rosario,33993,Pará (PA),91,939118298,7831333351</t>
  </si>
  <si>
    <t>Thaiz,Reyna,Thaiz Reyna,33240,Sergipe (SE),79,944776279,11108904124</t>
  </si>
  <si>
    <t>Debora,Gribel,Debora Gribel,33641,Rio Grande do Sul (RS),51,990384864,37673868152</t>
  </si>
  <si>
    <t>Rayssa,Valiate,Rayssa Valiate,32526,Goiás (GO),62,914409378,37821246107</t>
  </si>
  <si>
    <t>Audir,Gonçalves,Audir Gonçalves,31614,Rio Grande do Norte (RN),84,977948762,54841533584</t>
  </si>
  <si>
    <t>Catarina,Cavalcanti,Catarina Cavalcanti,31688,São Paulo (SP),11,948368296,53339620880</t>
  </si>
  <si>
    <t>Elaine,Caroline,Elaine Caroline,33055,Paraná (PR),41,941717841,9948643310</t>
  </si>
  <si>
    <t>Deysiane,Gouveia,Deysiane Gouveia,34226,Rondônia (RO),69,969920538,54277373684</t>
  </si>
  <si>
    <t>Samir,Gabrielen,Samir Gabrielen,31387,Acre (AC),68,916967403,4666430084</t>
  </si>
  <si>
    <t>César,Dourado,César Dourado,31985,Tocantins (TO),63,997435450,9591495016</t>
  </si>
  <si>
    <t>Heitor,Lobo,Heitor Lobo,31760,Mato Grosso do Sul (MS),84,967226398,15651677745</t>
  </si>
  <si>
    <t>Walmyr,Alvim,Walmyr Alvim,34087,Distrito Federal (DF),61,994377708,33535056444</t>
  </si>
  <si>
    <t>Ester,Licurci,Ester Licurci,32051,Mato Grosso (MT),65,939219204,78415930886</t>
  </si>
  <si>
    <t>Davi,Coimbra,Davi Coimbra,33947,Santa Catarina (SC),48,984763566,31178180038</t>
  </si>
  <si>
    <t>Caroll,Casal,Caroll Casal,31403,Mato Grosso (MT),65,923653368,65103348634</t>
  </si>
  <si>
    <t>Nivea,Galera,Nivea Galera,33000,Mato Grosso (MT),65,946380260,60357972097</t>
  </si>
  <si>
    <t>Iasmim,Antônio,Iasmim Antônio,33527,Sergipe (SE),79,953736795,9571820617</t>
  </si>
  <si>
    <t>Nathalya,Vinícius,Nathalya Vinícius,31759,Rio de Janeiro (RJ),21,924393711,15706900098</t>
  </si>
  <si>
    <t>Jonas,Lucas,Jonas Lucas,34272,Bahia (BA),71,925822192,56262573364</t>
  </si>
  <si>
    <t>Myllena,Cruz,Myllena Cruz,31971,Roraima (RR),95,999666338,23891840810</t>
  </si>
  <si>
    <t>Luiza,Andréa,Luiza Andréa,32232,Alagoas (AL),82,946163487,50419002423</t>
  </si>
  <si>
    <t>Jamile,Jardim,Jamile Jardim,32278,Distrito Federal (DF),61,910837176,27331024656</t>
  </si>
  <si>
    <t>Eduardo,Stellet,Eduardo Stellet,31894,Espírito Santo (ES),27,909744067,77544795913</t>
  </si>
  <si>
    <t>Nicholas,Caffaro,Nicholas Caffaro,32200,Minas Gerais (MG),31,918350295,68413926245</t>
  </si>
  <si>
    <t>Davi,Coimbra,Davi Coimbra,33300,Rio Grande do Sul (RS),51,918113220,21727335314</t>
  </si>
  <si>
    <t>Wendela,Neiva,Wendela Neiva,33518,Amazonas (AM),92,970994368,1735972607</t>
  </si>
  <si>
    <t>Hyago,Roberto,Hyago Roberto,31577,Pernambuco (PE),81,900889710,33833158973</t>
  </si>
  <si>
    <t>Patrícia,Vasconcelos,Patrícia Vasconcelos,32982,Goiás (GO),62,941351417,16431357973</t>
  </si>
  <si>
    <t>Vitor,Blumgrund,Vitor Blumgrund,32550,Minas Gerais (MG),31,967115342,64424343727</t>
  </si>
  <si>
    <t>Pâmella,Rayol,Pâmella Rayol,33453,Distrito Federal (DF),61,905140894,25615338881</t>
  </si>
  <si>
    <t>Aline,Eduarda,Aline Eduarda,33445,Minas Gerais (MG),31,997320325,94597372139</t>
  </si>
  <si>
    <t>Beatriz,Gomes,Beatriz Gomes,33541,Bahia (BA),71,938468008,5081446166</t>
  </si>
  <si>
    <t>Karollayne,Lopes,Karollayne Lopes,34152,Roraima (RR),95,948970577,43772030653</t>
  </si>
  <si>
    <t>Suely,Schincariol,Suely Schincariol,31394,Roraima (RR),95,943088828,3616748338</t>
  </si>
  <si>
    <t>Talline,Primo,Talline Primo,34214,Acre (AC),68,918319639,43133849722</t>
  </si>
  <si>
    <t>Larissa,Fontenele,Larissa Fontenele,32633,Goiás (GO),62,952238541,99219025871</t>
  </si>
  <si>
    <t>Vivian,Neves,Vivian Neves,34115,Santa Catarina (SC),48,971436237,46951506751</t>
  </si>
  <si>
    <t>Julio,Teles,Julio Teles,33121,São Paulo (SP),11,977026031,16716455431</t>
  </si>
  <si>
    <t>Suelen,Accardo,Suelen Accardo,32087,Amapá (AP),96,950162720,2822861678</t>
  </si>
  <si>
    <t>Fillipe,Hejda,Fillipe Hejda,32619,Minas Gerais (MG),31,952685390,63252745272</t>
  </si>
  <si>
    <t>Manuela,Sodré,Manuela Sodré,32647,Mato Grosso (MT),65,952928241,30596559944</t>
  </si>
  <si>
    <t>Thales,Batista,Thales Batista,33568,Ceará (CE),88,999675644,82162898237</t>
  </si>
  <si>
    <t>Luã,Jundi,Luã Jundi,33626,Rio de Janeiro (RJ),21,948947275,10774094640</t>
  </si>
  <si>
    <t>Wellington,Fioretti,Wellington Fioretti,31907,Piauí (PI),86,905726640,83530351275</t>
  </si>
  <si>
    <t>Eriko,Erthal,Eriko Erthal,31854,Maranhão (MA),98,922964665,18524921927</t>
  </si>
  <si>
    <t>Raul,Halinck,Raul Halinck,32575,Paraná (PR),41,918330354,60464815240</t>
  </si>
  <si>
    <t>Renan,Nascimento,Renan Nascimento,32933,Espírito Santo (ES),27,900551833,77750562050</t>
  </si>
  <si>
    <t>Érico,Degasperi,Érico Degasperi,31972,Acre (AC),68,963689460,94904454717</t>
  </si>
  <si>
    <t>Davi,Coimbra,Davi Coimbra,33521,Tocantins (TO),63,996304633,64613396071</t>
  </si>
  <si>
    <t>Renan,Nascimento,Renan Nascimento,31763,Goiás (GO),62,988884811,17676575535</t>
  </si>
  <si>
    <t>Luã,Jundi,Luã Jundi,32771,Amapá (AP),96,970638940,74848849648</t>
  </si>
  <si>
    <t>Camille,Felippe,Camille Felippe,33785,Rio de Janeiro (RJ),21,958651681,54353467462</t>
  </si>
  <si>
    <t>Stephanie,Bello,Stephanie Bello,32550,Rio de Janeiro (RJ),21,938361404,5751043458</t>
  </si>
  <si>
    <t>Breno,Tavares,Breno Tavares,33659,Distrito Federal (DF),61,910309191,73682956827</t>
  </si>
  <si>
    <t>Marcella,Corrêa,Marcella Corrêa,32770,Piauí (PI),86,965290202,17665150771</t>
  </si>
  <si>
    <t>Kaio,Hermsdorff,Kaio Hermsdorff,31065,Minas Gerais (MG),31,991628396,69036204605</t>
  </si>
  <si>
    <t>Cláudia,Orind,Cláudia Orind,31608,Ceará (CE),88,958847683,22378392463</t>
  </si>
  <si>
    <t>Yohanan,Barrionuevo,Yohanan Barrionuevo,32611,Rondônia (RO),69,939422032,17371644250</t>
  </si>
  <si>
    <t>Yuri,Henriques,Yuri Henriques,32580,Santa Catarina (SC),48,990155243,13731669624</t>
  </si>
  <si>
    <t>Taiza,Luis,Taiza Luis,33656,Mato Grosso (MT),65,948930838,21696737117</t>
  </si>
  <si>
    <t>Lívia,Leivyson,Lívia Leivyson,33778,Bahia (BA),71,982634169,2636304793</t>
  </si>
  <si>
    <t>Ericka,Gallo,Ericka Gallo,32967,Amazonas (AM),92,924362063,75452031157</t>
  </si>
  <si>
    <t>Jéssica,Campos,Jéssica Campos,33922,Mato Grosso (MT),65,916013547,24247165848</t>
  </si>
  <si>
    <t>Thauan,Chousa,Thauan Chousa,33228,Rio de Janeiro (RJ),21,991075180,5225469794</t>
  </si>
  <si>
    <t>Taila,Li,Taila Li,32046,Rondônia (RO),69,979903049,99982008722</t>
  </si>
  <si>
    <t>Higor,Osman,Higor Osman,33479,Roraima (RR),95,982495918,61555644924</t>
  </si>
  <si>
    <t>Manuela,Sodré,Manuela Sodré,32582,Espírito Santo (ES),27,949447735,11041355000</t>
  </si>
  <si>
    <t>Stephanie,Bello,Stephanie Bello,31452,Pernambuco (PE),81,997343353,33032054881</t>
  </si>
  <si>
    <t>Victoria,Alvarenga,Victoria Alvarenga,32293,Pará (PA),91,988938132,32884786395</t>
  </si>
  <si>
    <t>Andre,Carolina,Andre Carolina,32892,Mato Grosso do Sul (MS),84,936984400,272067243</t>
  </si>
  <si>
    <t>Leticia,Said,Leticia Said,33273,Amazonas (AM),92,915756329,3242955451</t>
  </si>
  <si>
    <t>Fabiano,Prota,Fabiano Prota,33551,Pará (PA),91,947772386,51828627680</t>
  </si>
  <si>
    <t>Ramon,Ávila,Ramon Ávila,33992,Distrito Federal (DF),61,951996334,50114512229</t>
  </si>
  <si>
    <t>Edjailma,Montenegro,Edjailma Montenegro,33530,Acre (AC),68,936301927,61531897901</t>
  </si>
  <si>
    <t>Jefferson,Cavadas,Jefferson Cavadas,32064,Rio de Janeiro (RJ),21,984509964,14900197625</t>
  </si>
  <si>
    <t>Breno,Tavares,Breno Tavares,33873,Espírito Santo (ES),27,969577780,97982741077</t>
  </si>
  <si>
    <t>Platini,Sara,Platini Sara,31478,Tocantins (TO),63,955842444,73984450530</t>
  </si>
  <si>
    <t>Giselia,Flavio,Giselia Flavio,31251,Santa Catarina (SC),48,922060548,73180648481</t>
  </si>
  <si>
    <t>Rojane,Filiphe,Rojane Filiphe,33778,Mato Grosso (MT),65,910796114,98105989595</t>
  </si>
  <si>
    <t>Itai,Limp,Itai Limp,32470,Amapá (AP),96,904401227,87295592896</t>
  </si>
  <si>
    <t>Michel,Yumi,Michel Yumi,31455,Espírito Santo (ES),27,955060900,45033050237</t>
  </si>
  <si>
    <t>Giselia,Flavio,Giselia Flavio,32155,São Paulo (SP),11,962768934,79597476205</t>
  </si>
  <si>
    <t>Bernardo,Santos,Bernardo Santos,31941,Rondônia (RO),69,926822206,85437109649</t>
  </si>
  <si>
    <t>Tayna,Bachini,Tayna Bachini,32907,Santa Catarina (SC),48,941559810,12292849807</t>
  </si>
  <si>
    <t>Paulo,Arouca,Paulo Arouca,31808,Goiás (GO),62,938084590,70904043976</t>
  </si>
  <si>
    <t>Thayssa,Colacino,Thayssa Colacino,33456,Acre (AC),68,977703071,18562083809</t>
  </si>
  <si>
    <t>Diana,Itapary,Diana Itapary,34240,Rio Grande do Norte (RN),84,982882640,90506244482</t>
  </si>
  <si>
    <t>Luize,Neviani,Luize Neviani,32285,Pernambuco (PE),81,955780779,10903478577</t>
  </si>
  <si>
    <t>Yla,Bitencourt,Yla Bitencourt,33413,Pará (PA),91,970393111,82926315433</t>
  </si>
  <si>
    <t>Débora,Moraes,Débora Moraes,32640,Bahia (BA),71,943590655,5277442768</t>
  </si>
  <si>
    <t>Zilma,Cassabian,Zilma Cassabian,32127,Bahia (BA),71,971325899,87413667830</t>
  </si>
  <si>
    <t>Ananda,Fernandez,Ananda Fernandez,33220,Mato Grosso (MT),65,923154026,13953192967</t>
  </si>
  <si>
    <t>Taynná,Boy,Taynná Boy,31049,Espírito Santo (ES),27,991877329,62044078397</t>
  </si>
  <si>
    <t>Wendela,Neiva,Wendela Neiva,34122,Paraná (PR),41,979579111,30367817014</t>
  </si>
  <si>
    <t>Livia,Mesquita,Livia Mesquita,33036,Bahia (BA),71,972329490,29517147664</t>
  </si>
  <si>
    <t>Edgard,Alves,Edgard Alves,33573,Rio de Janeiro (RJ),21,993052485,37627717566</t>
  </si>
  <si>
    <t>Manuela,Sodré,Manuela Sodré,33535,Bahia (BA),71,968779172,8227346508</t>
  </si>
  <si>
    <t>Karine,Novarino,Karine Novarino,33395,Paraná (PR),41,983376733,51899937108</t>
  </si>
  <si>
    <t>Ully,Miura,Ully Miura,32560,Rio Grande do Norte (RN),84,911049287,95358189484</t>
  </si>
  <si>
    <t>Vladimir,Magalhaes,Vladimir Magalhaes,32057,Rio de Janeiro (RJ),21,942991412,93537846250</t>
  </si>
  <si>
    <t>Natália,Yosef,Natália Yosef,32842,Mato Grosso do Sul (MS),84,911946446,5793120621</t>
  </si>
  <si>
    <t>Paulo,Arouca,Paulo Arouca,34171,Bahia (BA),71,986307136,3409789374</t>
  </si>
  <si>
    <t>Luiza,Andréa,Luiza Andréa,34272,Piauí (PI),86,993061004,6933384502</t>
  </si>
  <si>
    <t>Thiago,Scalercio,Thiago Scalercio,31465,Paraná (PR),41,913061967,63001733371</t>
  </si>
  <si>
    <t>Zilma,Cassabian,Zilma Cassabian,33162,Santa Catarina (SC),48,916019253,59842657446</t>
  </si>
  <si>
    <t>Victória,Mosqueira,Victória Mosqueira,32581,Maranhão (MA),98,924116387,83550580827</t>
  </si>
  <si>
    <t>Tainah,Jalles,Tainah Jalles,33549,Pará (PA),91,940252985,17232269706</t>
  </si>
  <si>
    <t>Chan,Mello,Chan Mello,32730,Ceará (CE),88,905147163,57250623315</t>
  </si>
  <si>
    <t>Iris,Hudson,Iris Hudson,31124,Sergipe (SE),79,970702787,98022086358</t>
  </si>
  <si>
    <t>Letícia,Ferreirinha,Letícia Ferreirinha,31840,Rondônia (RO),69,920884118,99538864531</t>
  </si>
  <si>
    <t>Alecsander,Araújo,Alecsander Araújo,31221,Paraíba (PB),83,969184845,60717385331</t>
  </si>
  <si>
    <t>Marisol,Monteiro,Marisol Monteiro,31882,Rio Grande do Norte (RN),84,901145841,2576477039</t>
  </si>
  <si>
    <t>Paloma,Baruki,Paloma Baruki,33678,Santa Catarina (SC),48,908856314,18208749157</t>
  </si>
  <si>
    <t>Thayná,Balassiano,Thayná Balassiano,33068,Amazonas (AM),92,996445159,55345973272</t>
  </si>
  <si>
    <t>Thais,Lopez,Thais Lopez,33528,Distrito Federal (DF),61,943409366,61831227905</t>
  </si>
  <si>
    <t>Cláudia,Orind,Cláudia Orind,33419,São Paulo (SP),11,949412704,73892447210</t>
  </si>
  <si>
    <t>Antonia,Navega,Antonia Navega,31667,Piauí (PI),86,974788433,25590708370</t>
  </si>
  <si>
    <t>Daniela,Pedro,Daniela Pedro,32665,Rio de Janeiro (RJ),21,988451171,49659553874</t>
  </si>
  <si>
    <t>Jorge,Rossi,Jorge Rossi,33054,Mato Grosso (MT),65,930149606,22556513096</t>
  </si>
  <si>
    <t>Wilson,Aziz,Wilson Aziz,32787,Rio Grande do Norte (RN),84,909971867,61055845848</t>
  </si>
  <si>
    <t>Tainah,Jalles,Tainah Jalles,32394,Paraíba (PB),83,931543091,72545515445</t>
  </si>
  <si>
    <t>Victor,Anunciação,Victor Anunciação,33950,São Paulo (SP),11,908617009,79957587997</t>
  </si>
  <si>
    <t>Thayli,Scaldini,Thayli Scaldini,33583,Pará (PA),91,942203862,49660662195</t>
  </si>
  <si>
    <t>Liz,Rubio,Liz Rubio,31709,Goiás (GO),62,952461826,94308213130</t>
  </si>
  <si>
    <t>Suellen,Otavio,Suellen Otavio,33788,São Paulo (SP),11,992594478,63609723052</t>
  </si>
  <si>
    <t>Jonas,Lucas,Jonas Lucas,33299,Bahia (BA),71,966896722,24398712158</t>
  </si>
  <si>
    <t>Giselia,Flavio,Giselia Flavio,32299,Rio de Janeiro (RJ),21,917955028,82319734141</t>
  </si>
  <si>
    <t>Iasmim,Antônio,Iasmim Antônio,31705,Bahia (BA),71,918388031,96652954903</t>
  </si>
  <si>
    <t>Rodney,Bernhardt,Rodney Bernhardt,31383,Pará (PA),91,984019755,47651859900</t>
  </si>
  <si>
    <t>Graziela,Marcio,Graziela Marcio,31974,Espírito Santo (ES),27,988951324,77929385000</t>
  </si>
  <si>
    <t>Cleo,Areias,Cleo Areias,33582,Alagoas (AL),82,936112518,50897798495</t>
  </si>
  <si>
    <t>Luisa,Zacharias,Luisa Zacharias,31339,Alagoas (AL),82,969198686,31922039605</t>
  </si>
  <si>
    <t>Arnaldo,Barreto,Arnaldo Barreto,31919,Piauí (PI),86,944921766,52224645817</t>
  </si>
  <si>
    <t>Norman,Villela,Norman Villela,32347,Tocantins (TO),63,913653448,49101070072</t>
  </si>
  <si>
    <t>Kim,Luisa,Kim Luisa,33384,São Paulo (SP),11,994712318,13088610542</t>
  </si>
  <si>
    <t>Giovana,Frederico,Giovana Frederico,33084,Amazonas (AM),92,975335211,60372857133</t>
  </si>
  <si>
    <t>Henrique,Domingues,Henrique Domingues,32999,Paraná (PR),41,929046714,31318457230</t>
  </si>
  <si>
    <t>Samantha,Temporal,Samantha Temporal,31318,Tocantins (TO),63,993279257,64900736216</t>
  </si>
  <si>
    <t>Leandro,Fontenelle,Leandro Fontenelle,33677,Amazonas (AM),92,959330249,34177530603</t>
  </si>
  <si>
    <t>Carolina,Yehudah,Carolina Yehudah,32478,Alagoas (AL),82,913787537,32543999484</t>
  </si>
  <si>
    <t>Bernard,Lacerda,Bernard Lacerda,33947,Rio Grande do Sul (RS),51,923840024,6011514620</t>
  </si>
  <si>
    <t>Anízio,Luiz,Anízio Luiz,34331,Maranhão (MA),98,935905304,15779122368</t>
  </si>
  <si>
    <t>Priscila,Coelli,Priscila Coelli,31545,Maranhão (MA),98,912656413,42070285454</t>
  </si>
  <si>
    <t>Eric,Guerra,Eric Guerra,33474,Goiás (GO),62,969168541,8284824518</t>
  </si>
  <si>
    <t>Mônica,Faller,Mônica Faller,31547,Maranhão (MA),98,948247827,53029659711</t>
  </si>
  <si>
    <t>Patricia,Limeira,Patricia Limeira,32835,Rondônia (RO),69,951735602,79663837048</t>
  </si>
  <si>
    <t>Cinthia,Hermano,Cinthia Hermano,32497,Rio de Janeiro (RJ),21,931343048,22511812492</t>
  </si>
  <si>
    <t>Nathália,Bailly,Nathália Bailly,32300,Goiás (GO),62,935571788,32483587850</t>
  </si>
  <si>
    <t>Mylla,Varanda,Mylla Varanda,34329,Amapá (AP),96,946195225,29705442264</t>
  </si>
  <si>
    <t>Milena,Boaventura,Milena Boaventura,32092,Bahia (BA),71,995284995,48658838616</t>
  </si>
  <si>
    <t>Fabiane,Guilherme,Fabiane Guilherme,33607,Distrito Federal (DF),61,981505224,66309532920</t>
  </si>
  <si>
    <t>Camilla,Côrte-Real,Camilla Côrte-Real,33416,Goiás (GO),62,991332996,30566275384</t>
  </si>
  <si>
    <t>Érica,Coelho,Érica Coelho,31248,Pará (PA),91,917288669,11074330284</t>
  </si>
  <si>
    <t>Thayssa,Colacino,Thayssa Colacino,31460,Rio Grande do Norte (RN),84,966897259,87301533790</t>
  </si>
  <si>
    <t>Karine,Novarino,Karine Novarino,33774,Goiás (GO),62,944801642,6565006024</t>
  </si>
  <si>
    <t>Jessica,Flávia,Jessica Flávia,32704,Espírito Santo (ES),27,964262945,14383209322</t>
  </si>
  <si>
    <t>Graziela,Marcio,Graziela Marcio,32780,Pará (PA),91,941318234,13837201305</t>
  </si>
  <si>
    <t>Alex,Paes,Alex Paes,32785,Rio de Janeiro (RJ),21,997428246,50506442931</t>
  </si>
  <si>
    <t>Andreia,Pinto,Andreia Pinto,31160,Amapá (AP),96,988254042,49416313417</t>
  </si>
  <si>
    <t>Igor,Caldas,Igor Caldas,32269,Amapá (AP),96,985961346,71450814240</t>
  </si>
  <si>
    <t>Alana,Bensdorp,Alana Bensdorp,32558,Tocantins (TO),63,946809608,84487316005</t>
  </si>
  <si>
    <t>Wen,Bittencourt,Wen Bittencourt,31091,Minas Gerais (MG),31,963265860,21541035855</t>
  </si>
  <si>
    <t>Wendela,Neiva,Wendela Neiva,31551,Alagoas (AL),82,904083951,8474639682</t>
  </si>
  <si>
    <t>Thayza,Lauzana,Thayza Lauzana,32030,Acre (AC),68,927928398,73121211920</t>
  </si>
  <si>
    <t>Marisol,Monteiro,Marisol Monteiro,33047,Roraima (RR),95,985240353,85857546185</t>
  </si>
  <si>
    <t>João,Marino,João Marino,34240,Espírito Santo (ES),27,939962608,30777129288</t>
  </si>
  <si>
    <t>Hiaiune,Abranches,Hiaiune Abranches,32882,Rio Grande do Sul (RS),51,962862777,70102718230</t>
  </si>
  <si>
    <t>Guilherme,Sena,Guilherme Sena,31444,Roraima (RR),95,906769324,76853812545</t>
  </si>
  <si>
    <t>Hygor,Mateus,Hygor Mateus,32811,Alagoas (AL),82,944280467,17908778621</t>
  </si>
  <si>
    <t>John,Noronha,John Noronha,31682,Rio Grande do Sul (RS),51,980386461,13180078861</t>
  </si>
  <si>
    <t>Rosana,Bomfim,Rosana Bomfim,34025,Roraima (RR),95,930936176,21390356386</t>
  </si>
  <si>
    <t>Jean,Palhota,Jean Palhota,32909,Roraima (RR),95,999732829,41842551555</t>
  </si>
  <si>
    <t>Hanna,Praxedes,Hanna Praxedes,33369,São Paulo (SP),11,990528315,45714849073</t>
  </si>
  <si>
    <t>Elaine,Caroline,Elaine Caroline,32471,Tocantins (TO),63,992609907,74486606166</t>
  </si>
  <si>
    <t>Wesley,Mercês,Wesley Mercês,33647,Bahia (BA),71,969919513,53849064300</t>
  </si>
  <si>
    <t>Dandara,Vianna,Dandara Vianna,31991,Rio de Janeiro (RJ),21,942832131,59630243625</t>
  </si>
  <si>
    <t>Cassio,Ricardo,Cassio Ricardo,33805,Rondônia (RO),69,958645603,60880769699</t>
  </si>
  <si>
    <t>Tayane,Cavalca,Tayane Cavalca,33957,Distrito Federal (DF),61,946180312,66903186288</t>
  </si>
  <si>
    <t>Cynthia,Tostes,Cynthia Tostes,33438,Paraíba (PB),83,995921739,86159928634</t>
  </si>
  <si>
    <t>Matheus,Magalhães,Matheus Magalhães,31488,Paraná (PR),41,905330307,89203040667</t>
  </si>
  <si>
    <t>Cinthia,Hermano,Cinthia Hermano,33528,Maranhão (MA),98,915378105,33413929966</t>
  </si>
  <si>
    <t>Ursula,Correa,Ursula Correa,33890,Rio Grande do Norte (RN),84,984699737,32314177409</t>
  </si>
  <si>
    <t>Hanna,Praxedes,Hanna Praxedes,33094,Amazonas (AM),92,987950888,16603983967</t>
  </si>
  <si>
    <t>Rodney,Bernhardt,Rodney Bernhardt,33372,Maranhão (MA),98,931244431,17510227552</t>
  </si>
  <si>
    <t>Wellington,Fioretti,Wellington Fioretti,33006,Bahia (BA),71,963159269,14081661285</t>
  </si>
  <si>
    <t>Morgana,Silveira,Morgana Silveira,33655,Pernambuco (PE),81,933000212,31309781924</t>
  </si>
  <si>
    <t>Julio,Teles,Julio Teles,32965,Espírito Santo (ES),27,990381175,42407189485</t>
  </si>
  <si>
    <t>Débora,Moraes,Débora Moraes,32133,Alagoas (AL),82,995920811,43673185420</t>
  </si>
  <si>
    <t>Iuri,Breustedt,Iuri Breustedt,33860,Distrito Federal (DF),61,950665944,31715343657</t>
  </si>
  <si>
    <t>Ives,Delmas,Ives Delmas,32883,Minas Gerais (MG),31,961989101,83800640757</t>
  </si>
  <si>
    <t>Andre,Carolina,Andre Carolina,33568,Distrito Federal (DF),61,910416115,4906100721</t>
  </si>
  <si>
    <t>Emmanuel,Viana,Emmanuel Viana,33184,Maranhão (MA),98,974844615,93334327329</t>
  </si>
  <si>
    <t>Marcele,Chaves,Marcele Chaves,32517,São Paulo (SP),11,911555435,18663735395</t>
  </si>
  <si>
    <t>Thayli,Scaldini,Thayli Scaldini,31579,Roraima (RR),95,950633137,74290755641</t>
  </si>
  <si>
    <t>Sara,Abramovitz,Sara Abramovitz,33773,Pernambuco (PE),81,947147437,36303962419</t>
  </si>
  <si>
    <t>Mirian,Mollica,Mirian Mollica,32145,Bahia (BA),71,920422287,39094019427</t>
  </si>
  <si>
    <t>Michele,Antonio,Michele Antonio,31241,Ceará (CE),88,980693585,17945290214</t>
  </si>
  <si>
    <t>Tainara,Maués,Tainara Maués,32864,Rondônia (RO),69,965650453,51928480863</t>
  </si>
  <si>
    <t>Murillo,Spata,Murillo Spata,31739,Sergipe (SE),79,953601503,76049861701</t>
  </si>
  <si>
    <t>Igor,Caldas,Igor Caldas,31152,Espírito Santo (ES),27,963741928,31612593473</t>
  </si>
  <si>
    <t>Nathalia,Esquenazi,Nathalia Esquenazi,34034,Pará (PA),91,917015242,13911541534</t>
  </si>
  <si>
    <t>Thamara,Rotava,Thamara Rotava,31870,Acre (AC),68,969850591,24468720207</t>
  </si>
  <si>
    <t>Arnôr,Tiradentes,Arnôr Tiradentes,31704,Sergipe (SE),79,912248347,60416325960</t>
  </si>
  <si>
    <t>Raíssa,Jean,Raíssa Jean,32101,Acre (AC),68,983714753,6432539856</t>
  </si>
  <si>
    <t>Nina,Faria,Nina Faria,31807,Ceará (CE),88,906444479,81181431857</t>
  </si>
  <si>
    <t>Ylana,Russo,Ylana Russo,32955,Espírito Santo (ES),27,979087165,59976927201</t>
  </si>
  <si>
    <t>Wendel,Tribuzy,Wendel Tribuzy,33650,Paraná (PR),41,943839903,17824798686</t>
  </si>
  <si>
    <t>Bruna,Barberini,Bruna Barberini,32693,Rio de Janeiro (RJ),21,983783730,75278361910</t>
  </si>
  <si>
    <t>Verônica,Penna,Verônica Penna,32761,Paraná (PR),41,975514828,86358797221</t>
  </si>
  <si>
    <t>Nayne,Gouvêa,Nayne Gouvêa,33080,Pernambuco (PE),81,945772108,86146616668</t>
  </si>
  <si>
    <t>Maria,Kranz,Maria Kranz,32122,Bahia (BA),71,988318731,60816687063</t>
  </si>
  <si>
    <t>Thamara,Rotava,Thamara Rotava,32056,Mato Grosso (MT),65,911567953,15110874691</t>
  </si>
  <si>
    <t>Erik,Cortes,Erik Cortes,31238,Goiás (GO),62,997271845,31990360977</t>
  </si>
  <si>
    <t>Thauan,Chousa,Thauan Chousa,32732,Ceará (CE),88,938971617,55160900039</t>
  </si>
  <si>
    <t>Gianluca,Trevisan,Gianluca Trevisan,34012,Goiás (GO),62,977186215,81798418912</t>
  </si>
  <si>
    <t>Marcela,Labanca,Marcela Labanca,33266,Acre (AC),68,910829834,58813952914</t>
  </si>
  <si>
    <t>Thadeu,Vargas,Thadeu Vargas,32793,Rio Grande do Sul (RS),51,934089005,84408129575</t>
  </si>
  <si>
    <t>Josefe,Madruga,Josefe Madruga,32299,Amapá (AP),96,911415944,55225380000</t>
  </si>
  <si>
    <t>Ivan,Zickwolf,Ivan Zickwolf,32160,Pernambuco (PE),81,937224665,54939952798</t>
  </si>
  <si>
    <t>Paula,César,Paula César,31508,Roraima (RR),95,960106498,5797587162</t>
  </si>
  <si>
    <t>Viviane,Titonelli,Viviane Titonelli,32943,Pernambuco (PE),81,965506317,30829539125</t>
  </si>
  <si>
    <t>Kallena,Barros,Kallena Barros,31728,Paraná (PR),41,980547860,64494503860</t>
  </si>
  <si>
    <t>Marianna,Fróes,Marianna Fróes,33940,Pernambuco (PE),81,936723545,25812469280</t>
  </si>
  <si>
    <t>Silvana,Castello,Silvana Castello,32147,Espírito Santo (ES),27,958010860,6951896081</t>
  </si>
  <si>
    <t>Glaucia,Freire,Glaucia Freire,31240,Paraíba (PB),83,988888106,18452747529</t>
  </si>
  <si>
    <t>Nathalya,Vinícius,Nathalya Vinícius,32181,Mato Grosso (MT),65,929007722,191796838</t>
  </si>
  <si>
    <t>Venan,Smolarek,Venan Smolarek,33602,Mato Grosso (MT),65,958026323,93217234325</t>
  </si>
  <si>
    <t>Edson,Soibelman,Edson Soibelman,32258,Piauí (PI),86,931080985,85857075826</t>
  </si>
  <si>
    <t>Vanessa,Fecha,Vanessa Fecha,33392,Piauí (PI),86,917744371,67611526782</t>
  </si>
  <si>
    <t>Gustavo,Fracalossi,Gustavo Fracalossi,32781,Paraná (PR),41,909619929,52201640793</t>
  </si>
  <si>
    <t>Jayme,Figueiredo,Jayme Figueiredo,33439,Rondônia (RO),69,975764774,4666049799</t>
  </si>
  <si>
    <t>Marco,Roças,Marco Roças,33357,Espírito Santo (ES),27,948983766,26797822280</t>
  </si>
  <si>
    <t>Norman,Villela,Norman Villela,34063,Espírito Santo (ES),27,903674443,32328006410</t>
  </si>
  <si>
    <t>Ramon,Ávila,Ramon Ávila,32836,Mato Grosso do Sul (MS),84,966860406,82262878409</t>
  </si>
  <si>
    <t>Ully,Miura,Ully Miura,34066,Rio Grande do Norte (RN),84,986020831,17347145104</t>
  </si>
  <si>
    <t>Jeter,Julia,Jeter Julia,32334,Mato Grosso (MT),65,944380933,47113724425</t>
  </si>
  <si>
    <t>Thaís,Nemitz,Thaís Nemitz,31292,São Paulo (SP),11,964018660,12951870355</t>
  </si>
  <si>
    <t>Raffael,Hippertt,Raffael Hippertt,32307,Mato Grosso do Sul (MS),84,986321641,71747201074</t>
  </si>
  <si>
    <t>Thayane,Menezes,Thayane Menezes,31400,Pará (PA),91,983241106,20131503557</t>
  </si>
  <si>
    <t>Wendela,Neiva,Wendela Neiva,32093,Maranhão (MA),98,902489003,27902375846</t>
  </si>
  <si>
    <t>Alessandro,Martelotte,Alessandro Martelotte,34133,Santa Catarina (SC),48,960494829,80458195703</t>
  </si>
  <si>
    <t>Ingra,Reis,Ingra Reis,33768,Tocantins (TO),63,955502177,91061765907</t>
  </si>
  <si>
    <t>Loreni,Rebello,Loreni Rebello,33333,Sergipe (SE),79,993983980,23918735045</t>
  </si>
  <si>
    <t>Rebecca,Couto,Rebecca Couto,33517,Acre (AC),68,979073321,46967448718</t>
  </si>
  <si>
    <t>Daniele,Bogossian,Daniele Bogossian,31408,Roraima (RR),95,935435656,59083577832</t>
  </si>
  <si>
    <t>Soraia,Troccoli,Soraia Troccoli,33023,Maranhão (MA),98,934164283,77872254787</t>
  </si>
  <si>
    <t>Talissa,Nacif,Talissa Nacif,32121,Distrito Federal (DF),61,908525014,52304027483</t>
  </si>
  <si>
    <t>Adrian,Torres,Adrian Torres,32132,Bahia (BA),71,926737567,27068832605</t>
  </si>
  <si>
    <t>Rodolfo,Iane,Rodolfo Iane,31457,Rio de Janeiro (RJ),21,974936138,56050398514</t>
  </si>
  <si>
    <t>Luize,Neviani,Luize Neviani,33950,Roraima (RR),95,910046979,3624897119</t>
  </si>
  <si>
    <t>Marcus,Taylor,Marcus Taylor,33673,Sergipe (SE),79,935022513,50833893915</t>
  </si>
  <si>
    <t>Emilaine,Serra,Emilaine Serra,31271,Roraima (RR),95,944679089,57580650539</t>
  </si>
  <si>
    <t>Karollayne,Lopes,Karollayne Lopes,33034,Amapá (AP),96,966039274,50161868790</t>
  </si>
  <si>
    <t>Cleberson,Miranda,Cleberson Miranda,31850,Roraima (RR),95,986877680,55282844542</t>
  </si>
  <si>
    <t>Priscilla,Caldana,Priscilla Caldana,34063,Amazonas (AM),92,901046824,36204356715</t>
  </si>
  <si>
    <t>Graziela,Marcio,Graziela Marcio,33535,Espírito Santo (ES),27,917271682,86304853196</t>
  </si>
  <si>
    <t>Daniella,Tkotz,Daniella Tkotz,31120,Rio de Janeiro (RJ),21,988616253,86743223443</t>
  </si>
  <si>
    <t>Adailton,Paulo,Adailton Paulo,32579,Paraná (PR),41,968422023,12471676578</t>
  </si>
  <si>
    <t>Pedro,Scandiuzzi,Pedro Scandiuzzi,31373,Pernambuco (PE),81,949873092,31453372439</t>
  </si>
  <si>
    <t>Luís,Infante,Luís Infante,33026,Espírito Santo (ES),27,924940566,11278284089</t>
  </si>
  <si>
    <t>Vicente,Thadeu,Vicente Thadeu,32252,Distrito Federal (DF),61,919520148,75418060392</t>
  </si>
  <si>
    <t>Ariel,Silva,Ariel Silva,32451,Maranhão (MA),98,967073813,95956798045</t>
  </si>
  <si>
    <t>Yohanan,Barrionuevo,Yohanan Barrionuevo,34203,Pará (PA),91,915296993,98443615643</t>
  </si>
  <si>
    <t>Millena,Ribas,Millena Ribas,31144,Rondônia (RO),69,995668175,77089906188</t>
  </si>
  <si>
    <t>Jônatas,Bruna,Jônatas Bruna,32737,Piauí (PI),86,946753938,14902102794</t>
  </si>
  <si>
    <t>Lucca,Sant'Anna,Lucca Sant'Anna,34210,Sergipe (SE),79,918974785,60250532817</t>
  </si>
  <si>
    <t>Higor,Osman,Higor Osman,31677,Distrito Federal (DF),61,976029300,31790932261</t>
  </si>
  <si>
    <t>Paloma,Baruki,Paloma Baruki,31799,Goiás (GO),62,976623884,86183795231</t>
  </si>
  <si>
    <t>Cícero,dos,Cícero dos,33659,Minas Gerais (MG),31,982431262,86175657657</t>
  </si>
  <si>
    <t>Cecília,Fernando,Cecília Fernando,32872,Sergipe (SE),79,912154820,24284053267</t>
  </si>
  <si>
    <t>Sandy,Garambone,Sandy Garambone,34127,Ceará (CE),88,968345123,29999879821</t>
  </si>
  <si>
    <t>Silvio,Kohn,Silvio Kohn,31096,Acre (AC),68,923057470,95223706389</t>
  </si>
  <si>
    <t>Anderson,da,Anderson da,33382,Piauí (PI),86,912779345,3442845805</t>
  </si>
  <si>
    <t>Rilson,Miehrig,Rilson Miehrig,31558,Piauí (PI),86,926268511,47311341785</t>
  </si>
  <si>
    <t>Yan,Fragoso,Yan Fragoso,31324,Amazonas (AM),92,900209565,96422350415</t>
  </si>
  <si>
    <t>Paula,César,Paula César,34302,Alagoas (AL),82,982502196,87035164329</t>
  </si>
  <si>
    <t>Murilo,Jose,Murilo Jose,31564,Tocantins (TO),63,924819801,30603976814</t>
  </si>
  <si>
    <t>Ian,Mendonça,Ian Mendonça,34039,São Paulo (SP),11,970264281,64348567763</t>
  </si>
  <si>
    <t>Thalita,Raggi,Thalita Raggi,33156,Rio Grande do Norte (RN),84,975397862,20494916053</t>
  </si>
  <si>
    <t>Vinicius,Abreu,Vinicius Abreu,34161,Piauí (PI),86,956872621,22253673232</t>
  </si>
  <si>
    <t>Natalia,Jordania,Natalia Jordania,31357,Tocantins (TO),63,960467394,74458921145</t>
  </si>
  <si>
    <t>Gil,Rosa,Gil Rosa,32494,Amapá (AP),96,997991988,91049381573</t>
  </si>
  <si>
    <t>Ana,Carmo,Ana Carmo,33427,Minas Gerais (MG),31,939338857,43215759590</t>
  </si>
  <si>
    <t>Davi,Coimbra,Davi Coimbra,33054,Rondônia (RO),69,933143816,17385270551</t>
  </si>
  <si>
    <t>Júlia,Júnior,Júlia Júnior,31685,Acre (AC),68,918856160,69714746069</t>
  </si>
  <si>
    <t>Isabelle,Baldanzi,Isabelle Baldanzi,31770,Alagoas (AL),82,930515895,79227650543</t>
  </si>
  <si>
    <t>Cinthia,Hermano,Cinthia Hermano,33236,Tocantins (TO),63,957169166,20337301505</t>
  </si>
  <si>
    <t>Ciro,Paulino,Ciro Paulino,31543,Minas Gerais (MG),31,981514923,56168764434</t>
  </si>
  <si>
    <t>Helena,Aya,Helena Aya,33761,Pernambuco (PE),81,928233385,92980340494</t>
  </si>
  <si>
    <t>Livia,Mesquita,Livia Mesquita,33147,Roraima (RR),95,968393067,51097062228</t>
  </si>
  <si>
    <t>Luan,Farah,Luan Farah,31880,Amapá (AP),96,992528115,33561130310</t>
  </si>
  <si>
    <t>Wendel,Tribuzy,Wendel Tribuzy,33178,Santa Catarina (SC),48,954683148,27059538705</t>
  </si>
  <si>
    <t>Eugênio,Rangel,Eugênio Rangel,33056,Mato Grosso (MT),65,906099507,36642610705</t>
  </si>
  <si>
    <t>Lara,Lima,Lara Lima,33997,Amazonas (AM),92,941224189,85208988710</t>
  </si>
  <si>
    <t>Daniel,Salomao,Daniel Salomao,32667,Minas Gerais (MG),31,968238597,56839674507</t>
  </si>
  <si>
    <t>Haroldo,Portillo,Haroldo Portillo,31210,Pará (PA),91,915757420,49421787825</t>
  </si>
  <si>
    <t>Leonardo,Souza,Leonardo Souza,31766,Amapá (AP),96,940221360,13201787453</t>
  </si>
  <si>
    <t>Cecília,Fernando,Cecília Fernando,32093,Amapá (AP),96,969371707,29648162558</t>
  </si>
  <si>
    <t>Camila,Morgado,Camila Morgado,31705,Roraima (RR),95,922195111,48006642482</t>
  </si>
  <si>
    <t>Helen,Abi-Ramia,Helen Abi-Ramia,31898,Paraíba (PB),83,969207484,22729245529</t>
  </si>
  <si>
    <t>Marcela,Labanca,Marcela Labanca,31966,Pará (PA),91,927582772,49720365517</t>
  </si>
  <si>
    <t>Marjorie,Mathias,Marjorie Mathias,33505,Sergipe (SE),79,958512933,13763742888</t>
  </si>
  <si>
    <t>Jeferson,Dainara,Jeferson Dainara,34267,Espírito Santo (ES),27,948313020,3705960686</t>
  </si>
  <si>
    <t>Thamires,Akerman,Thamires Akerman,33041,Rio Grande do Sul (RS),51,916161185,62003345500</t>
  </si>
  <si>
    <t>Alexandra,de,Alexandra de,33155,Pará (PA),91,900805780,83214687940</t>
  </si>
  <si>
    <t>Victória,Mosqueira,Victória Mosqueira,32275,Ceará (CE),88,910628198,51278653268</t>
  </si>
  <si>
    <t>Caroll,Casal,Caroll Casal,32722,Rio Grande do Norte (RN),84,941116972,3670913117</t>
  </si>
  <si>
    <t>Andrew,Leão,Andrew Leão,33380,Ceará (CE),88,973865125,96550162604</t>
  </si>
  <si>
    <t>Thárcila,Cravo,Thárcila Cravo,32931,Amapá (AP),96,997397905,86939916848</t>
  </si>
  <si>
    <t>Fátima,Garcia,Fátima Garcia,33585,Roraima (RR),95,933181733,41031833418</t>
  </si>
  <si>
    <t>Raul,Halinck,Raul Halinck,32337,Mato Grosso (MT),65,976604395,25359123637</t>
  </si>
  <si>
    <t>Maryanna,Rachel,Maryanna Rachel,31212,Alagoas (AL),82,990310473,57614925671</t>
  </si>
  <si>
    <t>Tatiane,Rosolia,Tatiane Rosolia,34233,Mato Grosso do Sul (MS),84,953316480,39558940299</t>
  </si>
  <si>
    <t>Lorena,Sofia,Lorena Sofia,31409,Rio de Janeiro (RJ),21,966111716,20149342809</t>
  </si>
  <si>
    <t>Joyce,Renato,Joyce Renato,31123,Paraíba (PB),83,918129342,46134250371</t>
  </si>
  <si>
    <t>Larissa,Fontenele,Larissa Fontenele,32750,Rondônia (RO),69,945554592,97552639635</t>
  </si>
  <si>
    <t>Andreia,Pinto,Andreia Pinto,33617,Amapá (AP),96,988292485,96768367922</t>
  </si>
  <si>
    <t>Christian,Arantes,Christian Arantes,32441,Ceará (CE),88,906283114,46128670039</t>
  </si>
  <si>
    <t>Francisco,Siqueira,Francisco Siqueira,31901,Mato Grosso (MT),65,991804602,6145726534</t>
  </si>
  <si>
    <t>Tayna,Bachini,Tayna Bachini,32700,São Paulo (SP),11,998741557,27193322157</t>
  </si>
  <si>
    <t>Viviane,Titonelli,Viviane Titonelli,33578,Acre (AC),68,904946455,64220389516</t>
  </si>
  <si>
    <t>Daniella,Tkotz,Daniella Tkotz,33871,Piauí (PI),86,979875011,86878355750</t>
  </si>
  <si>
    <t>Itai,Limp,Itai Limp,31917,São Paulo (SP),11,996206336,23910093990</t>
  </si>
  <si>
    <t>Ruan,Vilhena,Ruan Vilhena,33836,Minas Gerais (MG),31,934976196,40638983958</t>
  </si>
  <si>
    <t>Aparecida,Lye,Aparecida Lye,31419,Santa Catarina (SC),48,957810660,69820273634</t>
  </si>
  <si>
    <t>Yasser,Tsuyoshi,Yasser Tsuyoshi,34324,Santa Catarina (SC),48,979320955,63474787568</t>
  </si>
  <si>
    <t>Hanna,Praxedes,Hanna Praxedes,33576,Rio Grande do Norte (RN),84,901963727,97823273123</t>
  </si>
  <si>
    <t>Bernard,Lacerda,Bernard Lacerda,32071,Pernambuco (PE),81,993532966,24582074675</t>
  </si>
  <si>
    <t>Stella,Morais,Stella Morais,31184,Mato Grosso do Sul (MS),84,997535262,14775097866</t>
  </si>
  <si>
    <t>Luca,Semeraro,Luca Semeraro,32698,Mato Grosso (MT),65,979782691,48989420370</t>
  </si>
  <si>
    <t>Victor,Anunciação,Victor Anunciação,33835,Tocantins (TO),63,913883830,4136184392</t>
  </si>
  <si>
    <t>Thaina,Junqueira,Thaina Junqueira,32482,Amapá (AP),96,926949606,15628786538</t>
  </si>
  <si>
    <t>Karina,Froufe,Karina Froufe,31473,Maranhão (MA),98,923824303,56278503491</t>
  </si>
  <si>
    <t>Adrielle,Carrera,Adrielle Carrera,33572,Mato Grosso do Sul (MS),84,947434421,59119766953</t>
  </si>
  <si>
    <t>Raiam,Crespo,Raiam Crespo,31273,Minas Gerais (MG),31,950053295,1928730344</t>
  </si>
  <si>
    <t>Yla,Bitencourt,Yla Bitencourt,31214,Rio Grande do Norte (RN),84,970818436,47953651701</t>
  </si>
  <si>
    <t>Fabio,Jorge,Fabio Jorge,31929,Espírito Santo (ES),27,998585411,32295406283</t>
  </si>
  <si>
    <t>Daiana,do,Daiana do,33395,Goiás (GO),62,924442158,24766474954</t>
  </si>
  <si>
    <t>Alex,Paes,Alex Paes,32077,Rondônia (RO),69,979445325,64457235910</t>
  </si>
  <si>
    <t>Laura,Novaes,Laura Novaes,33119,Espírito Santo (ES),27,914417976,24872225146</t>
  </si>
  <si>
    <t>Francisco,Siqueira,Francisco Siqueira,34237,Ceará (CE),88,949263975,30068592159</t>
  </si>
  <si>
    <t>Elana,Seidensticker,Elana Seidensticker,33873,Rio Grande do Norte (RN),84,941093807,17461953391</t>
  </si>
  <si>
    <t>Alan,Lund,Alan Lund,34082,Piauí (PI),86,929028013,54832473317</t>
  </si>
  <si>
    <t>Thomaz,Centurione,Thomaz Centurione,31740,Goiás (GO),62,950650025,56215728337</t>
  </si>
  <si>
    <t>Tayna,Bachini,Tayna Bachini,33699,Bahia (BA),71,938594192,62191722794</t>
  </si>
  <si>
    <t>Tainah,Jalles,Tainah Jalles,33994,Distrito Federal (DF),61,978184625,74574417668</t>
  </si>
  <si>
    <t>Leticia,Said,Leticia Said,33820,Sergipe (SE),79,911793745,4575514031</t>
  </si>
  <si>
    <t>Samir,Gabrielen,Samir Gabrielen,31275,Amapá (AP),96,992721871,21181251265</t>
  </si>
  <si>
    <t>Saranna,Brasil,Saranna Brasil,31512,Paraná (PR),41,978852124,74418537647</t>
  </si>
  <si>
    <t>Ingra,Reis,Ingra Reis,31943,Paraíba (PB),83,917966481,59021413657</t>
  </si>
  <si>
    <t>Gianluca,Trevisan,Gianluca Trevisan,31526,Rondônia (RO),69,984623012,21486029351</t>
  </si>
  <si>
    <t>Ivan,Zickwolf,Ivan Zickwolf,32473,Espírito Santo (ES),27,903467645,66017320420</t>
  </si>
  <si>
    <t>Micaele,Carneiro,Micaele Carneiro,32549,Distrito Federal (DF),61,941846606,1913877598</t>
  </si>
  <si>
    <t>Amanda,Bastos,Amanda Bastos,33413,Rio Grande do Norte (RN),84,988616614,76515674693</t>
  </si>
  <si>
    <t>Silvana,Castello,Silvana Castello,33165,Maranhão (MA),98,945081620,27652694244</t>
  </si>
  <si>
    <t>Barbara,Baptista,Barbara Baptista,33175,Acre (AC),68,980156621,87839473022</t>
  </si>
  <si>
    <t>Karline,Essaber,Karline Essaber,31359,Amazonas (AM),92,921705915,64264814624</t>
  </si>
  <si>
    <t>Gianluca,Trevisan,Gianluca Trevisan,33995,Tocantins (TO),63,943779027,24924256394</t>
  </si>
  <si>
    <t>Isis,Silvestre,Isis Silvestre,32468,Sergipe (SE),79,935938860,35170432618</t>
  </si>
  <si>
    <t>Renata,Muniz,Renata Muniz,32875,Rio Grande do Sul (RS),51,918127023,65602572863</t>
  </si>
  <si>
    <t>Caroline,Marques,Caroline Marques,31200,Ceará (CE),88,995216441,81732753016</t>
  </si>
  <si>
    <t>Ariel,Silva,Ariel Silva,33249,Rio de Janeiro (RJ),21,956315787,55231102897</t>
  </si>
  <si>
    <t>Barbara,Baptista,Barbara Baptista,32663,Santa Catarina (SC),48,968472890,23497819316</t>
  </si>
  <si>
    <t>Antonia,Navega,Antonia Navega,32782,Amapá (AP),96,994207521,75896145170</t>
  </si>
  <si>
    <t>Kelly,Pancini,Kelly Pancini,33023,Pernambuco (PE),81,907246146,82180163462</t>
  </si>
  <si>
    <t>Arnôr,Tiradentes,Arnôr Tiradentes,32204,Rio de Janeiro (RJ),21,994395637,72029812607</t>
  </si>
  <si>
    <t>Nathalia,Esquenazi,Nathalia Esquenazi,33483,Goiás (GO),62,918664647,44510216274</t>
  </si>
  <si>
    <t>Thayná,Balassiano,Thayná Balassiano,34288,São Paulo (SP),11,935514115,60419221836</t>
  </si>
  <si>
    <t>Julyanna,Farias,Julyanna Farias,31242,Sergipe (SE),79,961653576,33279025577</t>
  </si>
  <si>
    <t>Luca,Semeraro,Luca Semeraro,32443,Paraná (PR),41,962920240,80758227298</t>
  </si>
  <si>
    <t>Edjailma,Montenegro,Edjailma Montenegro,32874,Mato Grosso do Sul (MS),84,941892340,45845862582</t>
  </si>
  <si>
    <t>Vívian,Espinosa,Vívian Espinosa,32398,Minas Gerais (MG),31,969558130,77259256686</t>
  </si>
  <si>
    <t>Pietro,Queiroz,Pietro Queiroz,31508,São Paulo (SP),11,975259300,99943524630</t>
  </si>
  <si>
    <t>Álvaro,Valle,Álvaro Valle,31313,Pernambuco (PE),81,914461515,26407716862</t>
  </si>
  <si>
    <t>Alecssander,Eduardo,Alecssander Eduardo,33194,Goiás (GO),62,999388976,27069717602</t>
  </si>
  <si>
    <t>Alvaro,Bretas,Alvaro Bretas,31454,Piauí (PI),86,925870500,55290153802</t>
  </si>
  <si>
    <t>Isabelle,Baldanzi,Isabelle Baldanzi,31987,Bahia (BA),71,909431767,56064187083</t>
  </si>
  <si>
    <t>Gerald,Cunha,Gerald Cunha,31357,Mato Grosso do Sul (MS),84,978951500,15659733329</t>
  </si>
  <si>
    <t>Cézar,Barbosa,Cézar Barbosa,32172,Espírito Santo (ES),27,905581286,23730724682</t>
  </si>
  <si>
    <t>Eriko,Erthal,Eriko Erthal,31365,Piauí (PI),86,915002836,73015596616</t>
  </si>
  <si>
    <t>Denilton,Cardoso,Denilton Cardoso,33081,Sergipe (SE),79,970259315,81465846034</t>
  </si>
  <si>
    <t>Vinícius,Madrid,Vinícius Madrid,32545,Acre (AC),68,938388705,71715192716</t>
  </si>
  <si>
    <t>Liz,Rubio,Liz Rubio,32367,Bahia (BA),71,996831811,29139225605</t>
  </si>
  <si>
    <t>Giovana,Frederico,Giovana Frederico,32818,Ceará (CE),88,958861983,51521168985</t>
  </si>
  <si>
    <t>Luísa,Heleno,Luísa Heleno,33114,Rondônia (RO),69,916050768,32646990595</t>
  </si>
  <si>
    <t>Vitoria,Villar,Vitoria Villar,31144,Bahia (BA),71,945932548,9188629711</t>
  </si>
  <si>
    <t>Fernanda,Aballo,Fernanda Aballo,32895,Minas Gerais (MG),31,935063977,59664131315</t>
  </si>
  <si>
    <t>Giovani,Ventura,Giovani Ventura,32295,Rio Grande do Norte (RN),84,909372300,24744523036</t>
  </si>
  <si>
    <t>Gleisy,Rodino,Gleisy Rodino,31504,Tocantins (TO),63,998445598,82050865187</t>
  </si>
  <si>
    <t>Lígia,Luiza,Lígia Luiza,32382,Acre (AC),68,991732502,79516763484</t>
  </si>
  <si>
    <t>Cícero,dos,Cícero dos,33579,Paraíba (PB),83,981868728,15571537984</t>
  </si>
  <si>
    <t>Rodolfo,Iane,Rodolfo Iane,33931,Alagoas (AL),82,937784440,44169882725</t>
  </si>
  <si>
    <t>Ulisses,Carelli,Ulisses Carelli,31662,Tocantins (TO),63,978916110,50271351839</t>
  </si>
  <si>
    <t>Geani,Francisco,Geani Francisco,33963,Rio Grande do Norte (RN),84,981272845,13782143931</t>
  </si>
  <si>
    <t>Karen,Rabelo,Karen Rabelo,32261,Amazonas (AM),92,979630020,33165211034</t>
  </si>
  <si>
    <t>Raul,Halinck,Raul Halinck,31924,Minas Gerais (MG),31,975242338,72679586295</t>
  </si>
  <si>
    <t>Isabelly,Rocha,Isabelly Rocha,33010,Bahia (BA),71,930081464,39257184598</t>
  </si>
  <si>
    <t>Vivianne,Arineli,Vivianne Arineli,31665,Pernambuco (PE),81,925103194,73884258355</t>
  </si>
  <si>
    <t>Walter,Ferrer,Walter Ferrer,33755,Distrito Federal (DF),61,948649515,44846665855</t>
  </si>
  <si>
    <t>Thaís,Nemitz,Thaís Nemitz,32387,Ceará (CE),88,974204745,88534059724</t>
  </si>
  <si>
    <t>Izadora,Barroso,Izadora Barroso,31412,Rio Grande do Sul (RS),51,909355644,94530177318</t>
  </si>
  <si>
    <t>Marcus,Taylor,Marcus Taylor,32178,Mato Grosso do Sul (MS),84,928175724,96712045295</t>
  </si>
  <si>
    <t>Maryanna,Rachel,Maryanna Rachel,32452,Minas Gerais (MG),31,973668945,77806518408</t>
  </si>
  <si>
    <t>Ciro,Paulino,Ciro Paulino,32707,Mato Grosso do Sul (MS),84,974285166,46279460090</t>
  </si>
  <si>
    <t>Tiago,Brendalina,Tiago Brendalina,33008,Bahia (BA),71,988700932,81300326817</t>
  </si>
  <si>
    <t>Joel,Amorim,Joel Amorim,32822,Santa Catarina (SC),48,993239254,93286208128</t>
  </si>
  <si>
    <t>Elena,Ferreira,Elena Ferreira,31184,Goiás (GO),62,912949155,6328905217</t>
  </si>
  <si>
    <t>Ivana,Sampaio,Ivana Sampaio,32033,Ceará (CE),88,916766257,55943194752</t>
  </si>
  <si>
    <t>Bruno,Cozendey,Bruno Cozendey,33508,Rondônia (RO),69,968492789,22641850468</t>
  </si>
  <si>
    <t>Cecília,Fernando,Cecília Fernando,32567,Goiás (GO),62,991405957,92056936012</t>
  </si>
  <si>
    <t>Edjailma,Montenegro,Edjailma Montenegro,33659,Paraná (PR),41,988929784,80279942065</t>
  </si>
  <si>
    <t>Valéria,Vilas,Valéria Vilas,32298,Minas Gerais (MG),31,963842956,12228931664</t>
  </si>
  <si>
    <t>Felipe,Fernandes,Felipe Fernandes,31058,Amazonas (AM),92,998109917,99987438323</t>
  </si>
  <si>
    <t>Julliana,Carvalhal,Julliana Carvalhal,31816,Rio Grande do Norte (RN),84,993274199,56577656489</t>
  </si>
  <si>
    <t>Amanda,Bastos,Amanda Bastos,34172,Amazonas (AM),92,955412004,65207285001</t>
  </si>
  <si>
    <t>Rômulo,Kirk,Rômulo Kirk,33749,Rondônia (RO),69,988317419,91780580207</t>
  </si>
  <si>
    <t>Alana,Bensdorp,Alana Bensdorp,31854,Paraíba (PB),83,990158235,6721235546</t>
  </si>
  <si>
    <t>Gabryela,Nuñez,Gabryela Nuñez,31570,Sergipe (SE),79,915108481,7922089335</t>
  </si>
  <si>
    <t>Cláudia,Orind,Cláudia Orind,32132,Mato Grosso do Sul (MS),84,957262297,74235969484</t>
  </si>
  <si>
    <t>Philipe,Motta,Philipe Motta,31570,Alagoas (AL),82,983252455,58620442343</t>
  </si>
  <si>
    <t>Ailton,Veloso,Ailton Veloso,34084,Tocantins (TO),63,931956207,42961135750</t>
  </si>
  <si>
    <t>Stela,Whitaker,Stela Whitaker,32871,Distrito Federal (DF),61,928261725,71828969765</t>
  </si>
  <si>
    <t>Ana,Carmo,Ana Carmo,33150,Santa Catarina (SC),48,910997028,88113143987</t>
  </si>
  <si>
    <t>Lorena,Sofia,Lorena Sofia,31124,Piauí (PI),86,965980273,12097004752</t>
  </si>
  <si>
    <t>Vicente,Thadeu,Vicente Thadeu,34081,Ceará (CE),88,939115076,51282511535</t>
  </si>
  <si>
    <t>Joel,Amorim,Joel Amorim,33839,São Paulo (SP),11,969205368,57816266937</t>
  </si>
  <si>
    <t>Vladimir,Magalhaes,Vladimir Magalhaes,32007,Bahia (BA),71,929130205,4072373940</t>
  </si>
  <si>
    <t>Nickole,Provenzano,Nickole Provenzano,33760,Goiás (GO),62,970063908,89189131120</t>
  </si>
  <si>
    <t>Rayane,Zidan,Rayane Zidan,33794,Alagoas (AL),82,996136498,50722679699</t>
  </si>
  <si>
    <t>Hiago,Chagas,Hiago Chagas,33080,Amapá (AP),96,942568227,42208020206</t>
  </si>
  <si>
    <t>Hyago,Roberto,Hyago Roberto,31254,Amapá (AP),96,952265525,49520647987</t>
  </si>
  <si>
    <t>Cleberson,Miranda,Cleberson Miranda,33313,Sergipe (SE),79,995080794,40549644850</t>
  </si>
  <si>
    <t>Julio,Teles,Julio Teles,32698,Sergipe (SE),79,958231407,53595140519</t>
  </si>
  <si>
    <t>Luã,Jundi,Luã Jundi,33091,Piauí (PI),86,970237456,97748391490</t>
  </si>
  <si>
    <t>Mateus,Ladogano,Mateus Ladogano,33680,Alagoas (AL),82,925950590,87368194938</t>
  </si>
  <si>
    <t>Jackson,Pellegrini,Jackson Pellegrini,34148,Tocantins (TO),63,993268902,57515618411</t>
  </si>
  <si>
    <t>Jonas,Lucas,Jonas Lucas,33138,Rio Grande do Sul (RS),51,984426882,98094988028</t>
  </si>
  <si>
    <t>Lyandra,Picorelli,Lyandra Picorelli,32821,Bahia (BA),71,989256251,21182114057</t>
  </si>
  <si>
    <t>Diogo,Amor,Diogo Amor,31984,Rondônia (RO),69,938184048,68833120023</t>
  </si>
  <si>
    <t>Cristiane,Fioravante,Cristiane Fioravante,33027,Pará (PA),91,994931158,53814654976</t>
  </si>
  <si>
    <t>Sandro,Vaz,Sandro Vaz,31748,Tocantins (TO),63,902457681,85261831020</t>
  </si>
  <si>
    <t>Lara,Lima,Lara Lima,32806,Goiás (GO),62,910373513,35722381075</t>
  </si>
  <si>
    <t>Marina,Vilaça,Marina Vilaça,32443,Mato Grosso (MT),65,996679670,54831302425</t>
  </si>
  <si>
    <t>Nickole,Provenzano,Nickole Provenzano,32578,Distrito Federal (DF),61,984712752,23726410976</t>
  </si>
  <si>
    <t>Letícia,Ferreirinha,Letícia Ferreirinha,33457,Mato Grosso do Sul (MS),84,941067214,20761618291</t>
  </si>
  <si>
    <t>Nathalie,Macedo,Nathalie Macedo,34028,Rondônia (RO),69,950295574,85671720782</t>
  </si>
  <si>
    <t>Cristiane,Fioravante,Cristiane Fioravante,33548,Paraíba (PB),83,986915653,84651975464</t>
  </si>
  <si>
    <t>Geam,Yudi,Geam Yudi,34281,Paraná (PR),41,935984915,1190940847</t>
  </si>
  <si>
    <t>Tainah,Jalles,Tainah Jalles,32923,Espírito Santo (ES),27,916363538,8126497542</t>
  </si>
  <si>
    <t>Domenik,Portella,Domenik Portella,32225,Tocantins (TO),63,933895656,49215522912</t>
  </si>
  <si>
    <t>Thayssa,Colacino,Thayssa Colacino,32079,Rondônia (RO),69,948099039,52432580112</t>
  </si>
  <si>
    <t>Letícia,Ferreirinha,Letícia Ferreirinha,32956,Santa Catarina (SC),48,992148435,44774532341</t>
  </si>
  <si>
    <t>Ian,Mendonça,Ian Mendonça,31277,Amapá (AP),96,937761198,18516050949</t>
  </si>
  <si>
    <t>Lais,Flôr,Lais Flôr,33382,Pernambuco (PE),81,961197788,21666703949</t>
  </si>
  <si>
    <t>Patrícia,Vasconcelos,Patrícia Vasconcelos,33758,Paraíba (PB),83,952682118,52334340460</t>
  </si>
  <si>
    <t>Nayne,Gouvêa,Nayne Gouvêa,33444,Amapá (AP),96,970544473,68920498980</t>
  </si>
  <si>
    <t>Yasser,Tsuyoshi,Yasser Tsuyoshi,31305,Goiás (GO),62,980583497,60253279765</t>
  </si>
  <si>
    <t>Cláudia,Orind,Cláudia Orind,31469,Paraná (PR),41,975970161,53361285907</t>
  </si>
  <si>
    <t>Cézar,Barbosa,Cézar Barbosa,33144,Rondônia (RO),69,934865694,50758584750</t>
  </si>
  <si>
    <t>Hygor,Mateus,Hygor Mateus,33426,Rondônia (RO),69,945583725,88691404324</t>
  </si>
  <si>
    <t>Katarine,Penedo,Katarine Penedo,34000,Amapá (AP),96,961783831,35745621099</t>
  </si>
  <si>
    <t>Joyce,Renato,Joyce Renato,33682,Rio de Janeiro (RJ),21,991526490,21048398726</t>
  </si>
  <si>
    <t>Jonas,Lucas,Jonas Lucas,32392,Goiás (GO),62,949858962,61898898050</t>
  </si>
  <si>
    <t>Fabiane,Guilherme,Fabiane Guilherme,31085,Paraíba (PB),83,927207121,95867058693</t>
  </si>
  <si>
    <t>Jeane,Williams,Jeane Williams,32238,Minas Gerais (MG),31,900910314,8119805313</t>
  </si>
  <si>
    <t>Cynthia,Tostes,Cynthia Tostes,32745,Distrito Federal (DF),61,946183157,74315063335</t>
  </si>
  <si>
    <t>Thaina,Junqueira,Thaina Junqueira,31738,Paraíba (PB),83,985548108,35710214369</t>
  </si>
  <si>
    <t>Isis,Silvestre,Isis Silvestre,31681,Santa Catarina (SC),48,935853038,92517494482</t>
  </si>
  <si>
    <t>Walter,Ferrer,Walter Ferrer,31398,Mato Grosso do Sul (MS),84,947393005,83064982191</t>
  </si>
  <si>
    <t>Danielle,Martins,Danielle Martins,32488,Goiás (GO),62,936569184,61455223667</t>
  </si>
  <si>
    <t>Erik,Cortes,Erik Cortes,34288,Ceará (CE),88,922628619,16787619689</t>
  </si>
  <si>
    <t>Maria,Kranz,Maria Kranz,34148,Santa Catarina (SC),48,954340497,6403892727</t>
  </si>
  <si>
    <t>Elida,Magahães,Elida Magahães,31564,Ceará (CE),88,937715523,45306421660</t>
  </si>
  <si>
    <t>Thamirez,Gonzalez,Thamirez Gonzalez,32204,Rio de Janeiro (RJ),21,998552961,48347889140</t>
  </si>
  <si>
    <t>Júlia,Júnior,Júlia Júnior,34314,Distrito Federal (DF),61,937543163,30694231825</t>
  </si>
  <si>
    <t>Silvio,Kohn,Silvio Kohn,33405,Mato Grosso (MT),65,948339702,29897658458</t>
  </si>
  <si>
    <t>Marcela,Labanca,Marcela Labanca,32791,Rondônia (RO),69,924857391,96119374955</t>
  </si>
  <si>
    <t>Julianna,Sérgius,Julianna Sérgius,32407,Ceará (CE),88,974218992,47419644098</t>
  </si>
  <si>
    <t>Victor,Anunciação,Victor Anunciação,31855,Pará (PA),91,971771600,79168436697</t>
  </si>
  <si>
    <t>Henrique,Domingues,Henrique Domingues,31438,Rio Grande do Sul (RS),51,906320032,80773550229</t>
  </si>
  <si>
    <t>Yasser,Tsuyoshi,Yasser Tsuyoshi,32801,Rio Grande do Sul (RS),51,999378601,50082019061</t>
  </si>
  <si>
    <t>Bruno,Cozendey,Bruno Cozendey,34268,Mato Grosso (MT),65,984573527,92489520781</t>
  </si>
  <si>
    <t>Gabriel,Aguiar,Gabriel Aguiar,32480,Piauí (PI),86,996575299,66397201878</t>
  </si>
  <si>
    <t>Átila,Cromwell,Átila Cromwell,31287,Tocantins (TO),63,976386847,45753336202</t>
  </si>
  <si>
    <t>Adriane,Amaral,Adriane Amaral,33622,Acre (AC),68,930584029,37264090056</t>
  </si>
  <si>
    <t>Vicente,Thadeu,Vicente Thadeu,33218,Rio Grande do Sul (RS),51,945723140,11301229304</t>
  </si>
  <si>
    <t>Gil,Rosa,Gil Rosa,33043,Bahia (BA),71,913286540,35205881720</t>
  </si>
  <si>
    <t>Norbertho,Goulart,Norbertho Goulart,33027,Mato Grosso do Sul (MS),84,902757167,50463267422</t>
  </si>
  <si>
    <t>Flávia,Moss,Flávia Moss,34205,Alagoas (AL),82,915620855,46051402555</t>
  </si>
  <si>
    <t>Maurício,Emmerick,Maurício Emmerick,31490,Ceará (CE),88,999395107,54301137276</t>
  </si>
  <si>
    <t>Nivea,Galera,Nivea Galera,31777,Rio Grande do Sul (RS),51,920509439,16438265817</t>
  </si>
  <si>
    <t>Alfredo,Bandeira,Alfredo Bandeira,32279,Rondônia (RO),69,953634203,87930572373</t>
  </si>
  <si>
    <t>Jeferson,Dainara,Jeferson Dainara,31281,Rio Grande do Sul (RS),51,920016916,47172675026</t>
  </si>
  <si>
    <t>Andreia,Pinto,Andreia Pinto,32068,Minas Gerais (MG),31,934154042,51727696639</t>
  </si>
  <si>
    <t>Rodrigo,Piccinini,Rodrigo Piccinini,32560,Ceará (CE),88,929333550,5252771009</t>
  </si>
  <si>
    <t>Mylla,Varanda,Mylla Varanda,34067,Amapá (AP),96,992635260,47635743646</t>
  </si>
  <si>
    <t>Alexandra,de,Alexandra de,31924,Amapá (AP),96,951251000,15867638927</t>
  </si>
  <si>
    <t>Gabrielle,Baltar,Gabrielle Baltar,32853,São Paulo (SP),11,964971408,30361282656</t>
  </si>
  <si>
    <t>César,Dourado,César Dourado,33630,Rondônia (RO),69,982705538,99333628070</t>
  </si>
  <si>
    <t>Ciro,Paulino,Ciro Paulino,34125,Tocantins (TO),63,944171037,19742639215</t>
  </si>
  <si>
    <t>Manuela,Sodré,Manuela Sodré,32918,Rondônia (RO),69,947363234,53132521755</t>
  </si>
  <si>
    <t>Jamile,Jardim,Jamile Jardim,31891,Piauí (PI),86,954581597,34255128170</t>
  </si>
  <si>
    <t>Khaio,Frossard,Khaio Frossard,31101,Tocantins (TO),63,965160194,67663496492</t>
  </si>
  <si>
    <t>Nina,Faria,Nina Faria,32400,Tocantins (TO),63,931351689,81360847300</t>
  </si>
  <si>
    <t>Ericka,Gallo,Ericka Gallo,32572,Amazonas (AM),92,989690286,74514513608</t>
  </si>
  <si>
    <t>Elizeu,Madeira,Elizeu Madeira,31616,Acre (AC),68,968395379,38166449301</t>
  </si>
  <si>
    <t>Isabella,Cristina,Isabella Cristina,33428,Paraíba (PB),83,950170745,4967715976</t>
  </si>
  <si>
    <t>Dalvan,Costa,Dalvan Costa,33292,Rio de Janeiro (RJ),21,936708926,90084487206</t>
  </si>
  <si>
    <t>Rhanna,Lencastre,Rhanna Lencastre,32883,Rio Grande do Sul (RS),51,997863999,18010211213</t>
  </si>
  <si>
    <t>Brenno,Pisani,Brenno Pisani,32628,Acre (AC),68,931211326,58304488241</t>
  </si>
  <si>
    <t>Giovana,Frederico,Giovana Frederico,31734,Ceará (CE),88,906338736,16757711926</t>
  </si>
  <si>
    <t>Tomas,Palha,Tomas Palha,32532,Pará (PA),91,998112410,63945095819</t>
  </si>
  <si>
    <t>Rodolfo,Iane,Rodolfo Iane,33912,Rio Grande do Norte (RN),84,937522807,82722342364</t>
  </si>
  <si>
    <t>Vladimir,Magalhaes,Vladimir Magalhaes,32697,Bahia (BA),71,978887935,76812249233</t>
  </si>
  <si>
    <t>Débora,Moraes,Débora Moraes,31954,Acre (AC),68,976348316,39568097685</t>
  </si>
  <si>
    <t>Carolina,Yehudah,Carolina Yehudah,33202,Pará (PA),91,916273162,78675144189</t>
  </si>
  <si>
    <t>Ester,Licurci,Ester Licurci,34019,Mato Grosso do Sul (MS),84,934930207,2274543579</t>
  </si>
  <si>
    <t>Mariane,Bezerra,Mariane Bezerra,33549,Paraíba (PB),83,949577525,44935039072</t>
  </si>
  <si>
    <t>Jeferson,Dainara,Jeferson Dainara,34313,Mato Grosso (MT),65,903855718,41338625499</t>
  </si>
  <si>
    <t>Marcella,Corrêa,Marcella Corrêa,32598,Paraíba (PB),83,905718584,74871365884</t>
  </si>
  <si>
    <t>Christine,Rodrigues,Christine Rodrigues,31272,São Paulo (SP),11,957608287,49788244194</t>
  </si>
  <si>
    <t>William,Catarino,William Catarino,31778,Espírito Santo (ES),27,940119264,30126796156</t>
  </si>
  <si>
    <t>Taila,Li,Taila Li,32697,Distrito Federal (DF),61,905700934,94069071486</t>
  </si>
  <si>
    <t>Tiago,Brendalina,Tiago Brendalina,32664,Rondônia (RO),69,953847218,41258085727</t>
  </si>
  <si>
    <t>Mariana,Felix,Mariana Felix,31571,Bahia (BA),71,981289018,8776741539</t>
  </si>
  <si>
    <t>Samir,Gabrielen,Samir Gabrielen,32611,Espírito Santo (ES),27,965428544,8375711301</t>
  </si>
  <si>
    <t>Mylla,Varanda,Mylla Varanda,31635,Goiás (GO),62,996681641,24404458939</t>
  </si>
  <si>
    <t>Karline,Essaber,Karline Essaber,33625,São Paulo (SP),11,941912526,82574725338</t>
  </si>
  <si>
    <t>Victoria,Alvarenga,Victoria Alvarenga,33790,Santa Catarina (SC),48,960751276,22895939121</t>
  </si>
  <si>
    <t>Thayli,Scaldini,Thayli Scaldini,32297,Minas Gerais (MG),31,969886571,58468065098</t>
  </si>
  <si>
    <t>Ramon,Ávila,Ramon Ávila,31586,Rondônia (RO),69,933221212,9364248258</t>
  </si>
  <si>
    <t>Mayná,Goldoni,Mayná Goldoni,33193,Goiás (GO),62,966451312,9755948794</t>
  </si>
  <si>
    <t>Ary,Araujo,Ary Araujo,31373,Bahia (BA),71,990066596,63191686532</t>
  </si>
  <si>
    <t>Ighor,Maia,Ighor Maia,32943,Paraná (PR),41,994583863,50993326561</t>
  </si>
  <si>
    <t>Thaís,Nemitz,Thaís Nemitz,33460,Rio Grande do Sul (RS),51,967748352,24431951380</t>
  </si>
  <si>
    <t>Vladimir,Magalhaes,Vladimir Magalhaes,34111,Amazonas (AM),92,972707303,30626770328</t>
  </si>
  <si>
    <t>Débora,Moraes,Débora Moraes,34171,Piauí (PI),86,948664088,55398714233</t>
  </si>
  <si>
    <t>Rojane,Filiphe,Rojane Filiphe,32551,Mato Grosso do Sul (MS),84,905772227,8792439767</t>
  </si>
  <si>
    <t>Cláudia,Orind,Cláudia Orind,33999,Paraíba (PB),83,912621374,86213269230</t>
  </si>
  <si>
    <t>Tomas,Palha,Tomas Palha,31690,Rio de Janeiro (RJ),21,988112310,44834409131</t>
  </si>
  <si>
    <t>Alberto,Comas,Alberto Comas,32591,Goiás (GO),62,935522272,9494103780</t>
  </si>
  <si>
    <t>Hyago,Roberto,Hyago Roberto,32136,Acre (AC),68,978101675,33348962364</t>
  </si>
  <si>
    <t>Frederico,Rozenbaum,Frederico Rozenbaum,32102,Tocantins (TO),63,913654598,4323145329</t>
  </si>
  <si>
    <t>Vívian,Espinosa,Vívian Espinosa,33999,Pernambuco (PE),81,904576924,96215778812</t>
  </si>
  <si>
    <t>Andreza,Thamires,Andreza Thamires,32029,Bahia (BA),71,906762127,68696292430</t>
  </si>
  <si>
    <t>Cláudia,Orind,Cláudia Orind,31408,Minas Gerais (MG),31,925696018,56097711110</t>
  </si>
  <si>
    <t>Ailton,Veloso,Ailton Veloso,31538,Sergipe (SE),79,944543490,64870111729</t>
  </si>
  <si>
    <t>Paola,Kalaf,Paola Kalaf,32858,Santa Catarina (SC),48,936622296,66698033521</t>
  </si>
  <si>
    <t>Jean,Palhota,Jean Palhota,32007,Paraíba (PB),83,999243768,67291527475</t>
  </si>
  <si>
    <t>Nathália,Bailly,Nathália Bailly,34121,Santa Catarina (SC),48,947658056,86044852967</t>
  </si>
  <si>
    <t>Cecília,Fernando,Cecília Fernando,32418,Mato Grosso do Sul (MS),84,969001745,79290426677</t>
  </si>
  <si>
    <t>Sebastião,José,Sebastião José,32735,Rio Grande do Sul (RS),51,967062345,47766905859</t>
  </si>
  <si>
    <t>Hiaiune,Abranches,Hiaiune Abranches,31483,Amazonas (AM),92,964627784,71230566242</t>
  </si>
  <si>
    <t>Marcio,Miguel,Marcio Miguel,31753,Piauí (PI),86,912210785,34059638951</t>
  </si>
  <si>
    <t>Drielly,Victório,Drielly Victório,31094,Rondônia (RO),69,954232741,47562904293</t>
  </si>
  <si>
    <t>Carolina,Yehudah,Carolina Yehudah,33421,Maranhão (MA),98,927370905,16071588191</t>
  </si>
  <si>
    <t>Daniele,Bogossian,Daniele Bogossian,33395,Roraima (RR),95,909043640,28189443656</t>
  </si>
  <si>
    <t>Desirée,Oliveira,Desirée Oliveira,32535,Roraima (RR),95,952273108,10756526795</t>
  </si>
  <si>
    <t>Thamirez,Gonzalez,Thamirez Gonzalez,31589,Tocantins (TO),63,997743537,14480240574</t>
  </si>
  <si>
    <t>Walace,Simões,Walace Simões,31434,Mato Grosso (MT),65,935508028,12170214614</t>
  </si>
  <si>
    <t>Giuseppe,Monte,Giuseppe Monte,32797,Rio de Janeiro (RJ),21,947656040,56472240676</t>
  </si>
  <si>
    <t>Rebecca,Couto,Rebecca Couto,31403,Mato Grosso (MT),65,920122667,14336551636</t>
  </si>
  <si>
    <t>Krissia,Pflueger,Krissia Pflueger,33035,Roraima (RR),95,937995681,93702175225</t>
  </si>
  <si>
    <t>Ary,Araujo,Ary Araujo,31269,São Paulo (SP),11,953247278,11403244930</t>
  </si>
  <si>
    <t>Denilton,Cardoso,Denilton Cardoso,32505,Rio de Janeiro (RJ),21,997500662,83891702698</t>
  </si>
  <si>
    <t>Wilson,Aziz,Wilson Aziz,32876,Pará (PA),91,941115400,37498414362</t>
  </si>
  <si>
    <t>Thayna,Gracio,Thayna Gracio,33165,São Paulo (SP),11,993879735,35457077172</t>
  </si>
  <si>
    <t>Christiane,Jobim,Christiane Jobim,33444,Pará (PA),91,915980579,75998298572</t>
  </si>
  <si>
    <t>Jessika,La,Jessika La,31766,Rio Grande do Norte (RN),84,977255896,23790186302</t>
  </si>
  <si>
    <t>Yohanan,Barrionuevo,Yohanan Barrionuevo,32719,Roraima (RR),95,936228440,72324694679</t>
  </si>
  <si>
    <t>Jefferson,Cavadas,Jefferson Cavadas,31146,Tocantins (TO),63,925561838,11825750283</t>
  </si>
  <si>
    <t>Monique,Duarte,Monique Duarte,32993,Ceará (CE),88,922476980,92566297254</t>
  </si>
  <si>
    <t>Thaina,Junqueira,Thaina Junqueira,32233,Roraima (RR),95,986532170,92002293084</t>
  </si>
  <si>
    <t>Rojane,Filiphe,Rojane Filiphe,32474,Santa Catarina (SC),48,958722493,5093214513</t>
  </si>
  <si>
    <t>Izabel,Fogacia,Izabel Fogacia,33257,Pará (PA),91,991180677,78709767596</t>
  </si>
  <si>
    <t>Hannah,Dias,Hannah Dias,33152,Bahia (BA),71,992446138,11824764861</t>
  </si>
  <si>
    <t>Erick,Nico,Erick Nico,31641,Sergipe (SE),79,929901568,1138752810</t>
  </si>
  <si>
    <t>Haroldo,Portillo,Haroldo Portillo,33312,Rondônia (RO),69,922474741,75673491839</t>
  </si>
  <si>
    <t>Mayara,Victor,Mayara Victor,32508,Minas Gerais (MG),31,999205830,69904494568</t>
  </si>
  <si>
    <t>Samara,Firmo,Samara Firmo,31276,Alagoas (AL),82,990248311,77868100473</t>
  </si>
  <si>
    <t>Jeronimo,Francisca,Jeronimo Francisca,32542,Alagoas (AL),82,938343692,59427281397</t>
  </si>
  <si>
    <t>Alexandre,Bizzo,Alexandre Bizzo,32918,Sergipe (SE),79,949927665,13590794119</t>
  </si>
  <si>
    <t>Elvis,Moreno,Elvis Moreno,31371,Rio de Janeiro (RJ),21,934718974,59882747717</t>
  </si>
  <si>
    <t>Antônio,Moreira,Antônio Moreira,32905,Bahia (BA),71,922642106,96822008740</t>
  </si>
  <si>
    <t>Jonnathan,Dalforne,Jonnathan Dalforne,33438,Rio Grande do Norte (RN),84,987649313,15822884792</t>
  </si>
  <si>
    <t>Adriano,Machado,Adriano Machado,33450,Mato Grosso (MT),65,926299028,33209885009</t>
  </si>
  <si>
    <t>Lara,Lima,Lara Lima,31410,Maranhão (MA),98,940588925,98176302585</t>
  </si>
  <si>
    <t>Helvio,Coutinho,Helvio Coutinho,32737,Amapá (AP),96,940458374,20240910974</t>
  </si>
  <si>
    <t>Nuno,Lara,Nuno Lara,32270,Mato Grosso do Sul (MS),84,928522038,91832468390</t>
  </si>
  <si>
    <t>Julyana,Fangueiro,Julyana Fangueiro,32692,Pernambuco (PE),81,945767432,6331574450</t>
  </si>
  <si>
    <t>Elisa,Aragão,Elisa Aragão,31863,Distrito Federal (DF),61,914378627,61109041709</t>
  </si>
  <si>
    <t>Evelyn,Borba,Evelyn Borba,33167,Acre (AC),68,965685802,81147723121</t>
  </si>
  <si>
    <t>Átila,Cromwell,Átila Cromwell,31986,Pará (PA),91,912088683,59331591326</t>
  </si>
  <si>
    <t>Adriana,Pessoa,Adriana Pessoa,33973,Acre (AC),68,912554621,99386663861</t>
  </si>
  <si>
    <t>Amanda,Bastos,Amanda Bastos,32506,Mato Grosso (MT),65,966325373,76084549234</t>
  </si>
  <si>
    <t>jucelia,Iris,jucelia Iris,32418,Rondônia (RO),69,960628771,82258151215</t>
  </si>
  <si>
    <t>Antonia,Navega,Antonia Navega,33889,Minas Gerais (MG),31,983816946,84802913971</t>
  </si>
  <si>
    <t>Marcos,Paula,Marcos Paula,32807,Piauí (PI),86,923034529,41532305125</t>
  </si>
  <si>
    <t>Daniela,Pedro,Daniela Pedro,31200,Alagoas (AL),82,947400332,84967215447</t>
  </si>
  <si>
    <t>Filippo,Suzano,Filippo Suzano,32820,Pernambuco (PE),81,966580635,43904032227</t>
  </si>
  <si>
    <t>Lucas,Franciele,Lucas Franciele,33899,Mato Grosso (MT),65,909428197,67112697179</t>
  </si>
  <si>
    <t>Ludmila,Guimarães,Ludmila Guimarães,32541,Maranhão (MA),98,969442541,21536872683</t>
  </si>
  <si>
    <t>Raul,Halinck,Raul Halinck,32905,Espírito Santo (ES),27,914758902,89444166407</t>
  </si>
  <si>
    <t>Juann,Freitas,Juann Freitas,33397,Roraima (RR),95,935166069,55710592824</t>
  </si>
  <si>
    <t>Breno,Tavares,Breno Tavares,31866,Bahia (BA),71,964862445,98073417877</t>
  </si>
  <si>
    <t>Juliane,Bernardo,Juliane Bernardo,31433,Amazonas (AM),92,959524122,57279754435</t>
  </si>
  <si>
    <t>Ariel,Silva,Ariel Silva,34229,Amapá (AP),96,984111690,63648258056</t>
  </si>
  <si>
    <t>Frederico,Rozenbaum,Frederico Rozenbaum,33138,Sergipe (SE),79,913642780,39532939344</t>
  </si>
  <si>
    <t>Juann,Freitas,Juann Freitas,33504,Piauí (PI),86,910977683,24001551281</t>
  </si>
  <si>
    <t>Jessika,La,Jessika La,32743,Tocantins (TO),63,918874918,89557076115</t>
  </si>
  <si>
    <t>Glaucia,Freire,Glaucia Freire,31750,Ceará (CE),88,941940235,29358496021</t>
  </si>
  <si>
    <t>Cassia,Senderowicz,Cassia Senderowicz,32006,Rondônia (RO),69,922383444,45533401133</t>
  </si>
  <si>
    <t>Marcio,Miguel,Marcio Miguel,33766,Rio Grande do Norte (RN),84,904051280,79831399897</t>
  </si>
  <si>
    <t>Raul,Halinck,Raul Halinck,34268,Mato Grosso do Sul (MS),84,983324432,38459683900</t>
  </si>
  <si>
    <t>Emanuella,Soares,Emanuella Soares,32097,Roraima (RR),95,979259955,30622249334</t>
  </si>
  <si>
    <t>Ruan,Vilhena,Ruan Vilhena,33601,Sergipe (SE),79,927414200,89073199629</t>
  </si>
  <si>
    <t>Ives,Delmas,Ives Delmas,32736,Paraíba (PB),83,916807793,46397255380</t>
  </si>
  <si>
    <t>Marianna,Fróes,Marianna Fróes,31292,Paraíba (PB),83,988927190,86041651681</t>
  </si>
  <si>
    <t>Melissa,Franca,Melissa Franca,34262,Espírito Santo (ES),27,901242297,862051271</t>
  </si>
  <si>
    <t>Igor,Caldas,Igor Caldas,33232,Goiás (GO),62,964071619,41184076377</t>
  </si>
  <si>
    <t>Marjorie,Mathias,Marjorie Mathias,32954,Pernambuco (PE),81,947632472,68489004200</t>
  </si>
  <si>
    <t>Thayza,Lauzana,Thayza Lauzana,34319,Ceará (CE),88,987618012,32162360714</t>
  </si>
  <si>
    <t>Nicholas,Caffaro,Nicholas Caffaro,33375,Rio Grande do Norte (RN),84,980115193,47591947869</t>
  </si>
  <si>
    <t>Sandy,Garambone,Sandy Garambone,34010,Amazonas (AM),92,928777599,60969814405</t>
  </si>
  <si>
    <t>Olívia,Trinta,Olívia Trinta,31195,Paraná (PR),41,994662322,8937670807</t>
  </si>
  <si>
    <t>Bernardo,Santos,Bernardo Santos,32878,Sergipe (SE),79,919691929,24786683376</t>
  </si>
  <si>
    <t>Nathan,Caetano,Nathan Caetano,32380,Minas Gerais (MG),31,927564955,62489652239</t>
  </si>
  <si>
    <t>Dilson,Brandão,Dilson Brandão,32929,Acre (AC),68,950780301,83005543495</t>
  </si>
  <si>
    <t>Carolina,Yehudah,Carolina Yehudah,32355,Tocantins (TO),63,975715044,94676363449</t>
  </si>
  <si>
    <t>Gabriel,Aguiar,Gabriel Aguiar,34254,Pernambuco (PE),81,990235285,26588375634</t>
  </si>
  <si>
    <t>Gabrielle,Baltar,Gabrielle Baltar,34213,São Paulo (SP),11,965270672,40645618517</t>
  </si>
  <si>
    <t>Sandy,Garambone,Sandy Garambone,34117,Alagoas (AL),82,994226077,31946248673</t>
  </si>
  <si>
    <t>Thais,Lopez,Thais Lopez,31869,Rio Grande do Sul (RS),51,951161350,13744952374</t>
  </si>
  <si>
    <t>Lara,Lima,Lara Lima,34151,Acre (AC),68,999809691,56396882529</t>
  </si>
  <si>
    <t>Stephanie,Bello,Stephanie Bello,33978,Roraima (RR),95,903035787,79239669223</t>
  </si>
  <si>
    <t>Ylana,Russo,Ylana Russo,31438,Pará (PA),91,904333245,5470254278</t>
  </si>
  <si>
    <t>Luana,Benvinda,Luana Benvinda,32388,Rio Grande do Sul (RS),51,960211907,46346929683</t>
  </si>
  <si>
    <t>Vittorio,Mizrahy,Vittorio Mizrahy,33608,Amapá (AP),96,989264385,16233621790</t>
  </si>
  <si>
    <t>Catarina,Cavalcanti,Catarina Cavalcanti,31589,Amapá (AP),96,979170405,35867238425</t>
  </si>
  <si>
    <t>Bernard,Lacerda,Bernard Lacerda,32797,Paraná (PR),41,950731648,88682076681</t>
  </si>
  <si>
    <t>Leonardo,Souza,Leonardo Souza,32705,Rio Grande do Sul (RS),51,974034753,57049824545</t>
  </si>
  <si>
    <t>Philipe,Motta,Philipe Motta,31810,Rio de Janeiro (RJ),21,922165927,18533874643</t>
  </si>
  <si>
    <t>Luíza,Alvarez,Luíza Alvarez,31674,Rio Grande do Norte (RN),84,902518623,28823508030</t>
  </si>
  <si>
    <t>Lorena,Sofia,Lorena Sofia,33900,Pernambuco (PE),81,941032464,83648430933</t>
  </si>
  <si>
    <t>Nuno,Lara,Nuno Lara,31985,Bahia (BA),71,937632305,41148530316</t>
  </si>
  <si>
    <t>Marcus,Taylor,Marcus Taylor,32517,Alagoas (AL),82,981434905,94253941100</t>
  </si>
  <si>
    <t>Marco,Roças,Marco Roças,31701,Alagoas (AL),82,957479313,29027128610</t>
  </si>
  <si>
    <t>Denilton,Cardoso,Denilton Cardoso,33389,Minas Gerais (MG),31,943213430,63484006439</t>
  </si>
  <si>
    <t>Cláudia,Orind,Cláudia Orind,32051,Roraima (RR),95,923104408,64426681059</t>
  </si>
  <si>
    <t>Livia,Mesquita,Livia Mesquita,31510,Rondônia (RO),69,940865147,45518365423</t>
  </si>
  <si>
    <t>Rhanna,Lencastre,Rhanna Lencastre,34206,Rio de Janeiro (RJ),21,923301037,99630272090</t>
  </si>
  <si>
    <t>Thiago,Scalercio,Thiago Scalercio,32796,Minas Gerais (MG),31,913763461,66592647986</t>
  </si>
  <si>
    <t>Luiza,Andréa,Luiza Andréa,34307,Mato Grosso do Sul (MS),84,958820437,91837341005</t>
  </si>
  <si>
    <t>Alana,Bensdorp,Alana Bensdorp,32970,Amazonas (AM),92,999175745,68181015814</t>
  </si>
  <si>
    <t>Jonas,Lucas,Jonas Lucas,31210,Maranhão (MA),98,909153145,76086839201</t>
  </si>
  <si>
    <t>Pedro,Scandiuzzi,Pedro Scandiuzzi,33590,Paraíba (PB),83,938955443,43830259199</t>
  </si>
  <si>
    <t>Luiz,Ambrosio,Luiz Ambrosio,33437,Rio de Janeiro (RJ),21,992126734,11021866845</t>
  </si>
  <si>
    <t>Taís,Cerqueira,Taís Cerqueira,33957,Tocantins (TO),63,939465138,73674270802</t>
  </si>
  <si>
    <t>Andrew,Leão,Andrew Leão,32988,Goiás (GO),62,935770382,46294799418</t>
  </si>
  <si>
    <t>Norbertho,Goulart,Norbertho Goulart,31735,Minas Gerais (MG),31,931601861,33871901148</t>
  </si>
  <si>
    <t>Luize,Neviani,Luize Neviani,32012,São Paulo (SP),11,967225344,59179077957</t>
  </si>
  <si>
    <t>Marianna,Fróes,Marianna Fróes,33426,Ceará (CE),88,924551890,69026254699</t>
  </si>
  <si>
    <t>Millena,Ribas,Millena Ribas,31838,Santa Catarina (SC),48,972060542,25213643412</t>
  </si>
  <si>
    <t>Alex,Paes,Alex Paes,32012,Bahia (BA),71,959247428,69882506848</t>
  </si>
  <si>
    <t>Iris,Hudson,Iris Hudson,32713,Roraima (RR),95,925736120,25613168316</t>
  </si>
  <si>
    <t>Eduardo,Stellet,Eduardo Stellet,33232,Rio Grande do Sul (RS),51,994713333,80867197862</t>
  </si>
  <si>
    <t>Ester,Licurci,Ester Licurci,33349,Tocantins (TO),63,953872626,68403002243</t>
  </si>
  <si>
    <t>Gerald,Cunha,Gerald Cunha,32248,Amapá (AP),96,947068057,95242423518</t>
  </si>
  <si>
    <t>Nélio,Bakman,Nélio Bakman,32039,Rio Grande do Norte (RN),84,909254674,97897055480</t>
  </si>
  <si>
    <t>Raiza,Póvoa,Raiza Póvoa,32236,Pernambuco (PE),81,947908682,92069753005</t>
  </si>
  <si>
    <t>Rafael,Bartholo,Rafael Bartholo,32206,Maranhão (MA),98,979544100,58970625252</t>
  </si>
  <si>
    <t>Rosana,Bomfim,Rosana Bomfim,33220,Mato Grosso (MT),65,938860035,97813203833</t>
  </si>
  <si>
    <t>Mariane,Bezerra,Mariane Bezerra,31683,Sergipe (SE),79,975342691,3631759772</t>
  </si>
  <si>
    <t>Marcelly,Cezar,Marcelly Cezar,32845,Paraíba (PB),83,961342508,83800845427</t>
  </si>
  <si>
    <t>Mylla,Varanda,Mylla Varanda,32176,Roraima (RR),95,912104044,1737258070</t>
  </si>
  <si>
    <t>Ully,Miura,Ully Miura,33067,Alagoas (AL),82,972187228,71601506429</t>
  </si>
  <si>
    <t>Joao,Azeredo,Joao Azeredo,31599,Roraima (RR),95,911415590,15694723300</t>
  </si>
  <si>
    <t>Jeronimo,Francisca,Jeronimo Francisca,33365,Rio Grande do Norte (RN),84,989872892,8439404731</t>
  </si>
  <si>
    <t>Wendel,Tribuzy,Wendel Tribuzy,33333,Tocantins (TO),63,918514270,1485308752</t>
  </si>
  <si>
    <t>Norman,Villela,Norman Villela,31213,Rondônia (RO),69,976522097,5317157156</t>
  </si>
  <si>
    <t>Lucca,Sant'Anna,Lucca Sant'Anna,34188,Paraná (PR),41,925093705,76339778489</t>
  </si>
  <si>
    <t>Yuri,Henriques,Yuri Henriques,32915,Rio de Janeiro (RJ),21,988882040,8664692934</t>
  </si>
  <si>
    <t>Gizele,Valladares,Gizele Valladares,31067,Sergipe (SE),79,921089795,84049622764</t>
  </si>
  <si>
    <t>Antonia,Navega,Antonia Navega,33288,Amazonas (AM),92,912737572,35467398365</t>
  </si>
  <si>
    <t>Nathália,Bailly,Nathália Bailly,32306,Paraíba (PB),83,950987839,48737357730</t>
  </si>
  <si>
    <t>Micaele,Carneiro,Micaele Carneiro,31641,Bahia (BA),71,955129538,66477639057</t>
  </si>
  <si>
    <t>Adrizia,Balbi,Adrizia Balbi,33671,Amapá (AP),96,936438979,15475632609</t>
  </si>
  <si>
    <t>Thayná,Balassiano,Thayná Balassiano,32903,Acre (AC),68,906866839,86785455163</t>
  </si>
  <si>
    <t>Raiane,Gitirana,Raiane Gitirana,33974,Tocantins (TO),63,937629372,14224081168</t>
  </si>
  <si>
    <t>Krissia,Pflueger,Krissia Pflueger,32231,Pernambuco (PE),81,905378699,4704377957</t>
  </si>
  <si>
    <t>Rodrigo,Piccinini,Rodrigo Piccinini,32217,Roraima (RR),95,901063380,48695720441</t>
  </si>
  <si>
    <t>Fabio,Jorge,Fabio Jorge,31946,Santa Catarina (SC),48,988680921,46172051555</t>
  </si>
  <si>
    <t>Kassia,Linhares,Kassia Linhares,32341,Amapá (AP),96,973675122,88289739477</t>
  </si>
  <si>
    <t>Eriko,Erthal,Eriko Erthal,32187,São Paulo (SP),11,990865748,74066610494</t>
  </si>
  <si>
    <t>Raul,Halinck,Raul Halinck,34285,Acre (AC),68,948153359,50018366573</t>
  </si>
  <si>
    <t>Diogo,Amor,Diogo Amor,32325,São Paulo (SP),11,944314333,62400116742</t>
  </si>
  <si>
    <t>Nathália,Bailly,Nathália Bailly,32862,Paraíba (PB),83,964808828,68971710267</t>
  </si>
  <si>
    <t>Ian,Mendonça,Ian Mendonça,32160,Piauí (PI),86,962327244,41876047703</t>
  </si>
  <si>
    <t>Itai,Limp,Itai Limp,32858,Espírito Santo (ES),27,928348561,6001815158</t>
  </si>
  <si>
    <t>Ingra,Reis,Ingra Reis,32387,Amazonas (AM),92,978207744,45576978564</t>
  </si>
  <si>
    <t>Cecília,Fernando,Cecília Fernando,33565,Mato Grosso do Sul (MS),84,906734380,71152083021</t>
  </si>
  <si>
    <t>Isabelle,Baldanzi,Isabelle Baldanzi,32349,Rio de Janeiro (RJ),21,968058439,21867842048</t>
  </si>
  <si>
    <t>Raiza,Póvoa,Raiza Póvoa,34003,Pernambuco (PE),81,950239847,82327779553</t>
  </si>
  <si>
    <t>Ysabella,Nogueira,Ysabella Nogueira,32548,Amazonas (AM),92,921924373,48551729243</t>
  </si>
  <si>
    <t>Glenda,Duque,Glenda Duque,32519,Pernambuco (PE),81,905956297,40115079685</t>
  </si>
  <si>
    <t>Elio,Espíndola,Elio Espíndola,33455,Piauí (PI),86,917604860,66179042685</t>
  </si>
  <si>
    <t>Gabriela,Cristine,Gabriela Cristine,31157,Mato Grosso (MT),65,969606956,66879261322</t>
  </si>
  <si>
    <t>Jayme,Figueiredo,Jayme Figueiredo,34293,Pernambuco (PE),81,904869458,28226915759</t>
  </si>
  <si>
    <t>Verônica,Penna,Verônica Penna,34290,Rio Grande do Norte (RN),84,966548021,74175489766</t>
  </si>
  <si>
    <t>Hannah,Dias,Hannah Dias,32856,São Paulo (SP),11,905933718,67659529430</t>
  </si>
  <si>
    <t>Hugo,Medeiros,Hugo Medeiros,34080,Amazonas (AM),92,947910051,72635025050</t>
  </si>
  <si>
    <t>Simone,Sayuri,Simone Sayuri,33523,Goiás (GO),62,995405422,60397014266</t>
  </si>
  <si>
    <t>Yohanan,Barrionuevo,Yohanan Barrionuevo,32792,Pernambuco (PE),81,956445779,42446504525</t>
  </si>
  <si>
    <t>Stella,Morais,Stella Morais,31822,Espírito Santo (ES),27,968510836,86752012975</t>
  </si>
  <si>
    <t>Gabriela,Cristine,Gabriela Cristine,32908,Ceará (CE),88,963485669,34187503217</t>
  </si>
  <si>
    <t>Helvio,Coutinho,Helvio Coutinho,32222,Pernambuco (PE),81,953417011,28193095507</t>
  </si>
  <si>
    <t>Gizella,Rivero,Gizella Rivero,31606,Sergipe (SE),79,910309068,47616837755</t>
  </si>
  <si>
    <t>Samantha,Temporal,Samantha Temporal,33449,Ceará (CE),88,916145614,5138124066</t>
  </si>
  <si>
    <t>Samantha,Temporal,Samantha Temporal,32626,Goiás (GO),62,981751264,88774519056</t>
  </si>
  <si>
    <t>Cristina,Priscilla,Cristina Priscilla,33164,Ceará (CE),88,973499284,89105476061</t>
  </si>
  <si>
    <t>Juliane,Bernardo,Juliane Bernardo,32173,Pará (PA),91,930901286,22939438496</t>
  </si>
  <si>
    <t>Maurício,Emmerick,Maurício Emmerick,32887,Rio de Janeiro (RJ),21,993689122,83210406879</t>
  </si>
  <si>
    <t>Mateus,Ladogano,Mateus Ladogano,34059,Maranhão (MA),98,904422699,74343868845</t>
  </si>
  <si>
    <t>Vitória,Gabrielle,Vitória Gabrielle,33921,Bahia (BA),71,960813546,44120165028</t>
  </si>
  <si>
    <t>Raiam,Crespo,Raiam Crespo,33756,Rio de Janeiro (RJ),21,928068978,71096679421</t>
  </si>
  <si>
    <t>Luan,Farah,Luan Farah,32945,Pará (PA),91,915429484,48720113032</t>
  </si>
  <si>
    <t>Maria,Kranz,Maria Kranz,31930,Minas Gerais (MG),31,948668827,89612537133</t>
  </si>
  <si>
    <t>Julyanna,Farias,Julyanna Farias,33378,Bahia (BA),71,981744739,70709502751</t>
  </si>
  <si>
    <t>Helen,Abi-Ramia,Helen Abi-Ramia,31301,Maranhão (MA),98,956746733,30537653491</t>
  </si>
  <si>
    <t>Flavio,Luz,Flavio Luz,33142,Sergipe (SE),79,982386598,67521373394</t>
  </si>
  <si>
    <t>Agnes,Cabral,Agnes Cabral,31745,Sergipe (SE),79,906823820,96317686432</t>
  </si>
  <si>
    <t>Yuske,Rosales,Yuske Rosales,32224,Santa Catarina (SC),48,925901720,11454653096</t>
  </si>
  <si>
    <t>Helvio,Coutinho,Helvio Coutinho,32173,Ceará (CE),88,988460459,77263503397</t>
  </si>
  <si>
    <t>Naiara,Nobili,Naiara Nobili,32737,Piauí (PI),86,999170759,973185894</t>
  </si>
  <si>
    <t>Izabella,Messias,Izabella Messias,33113,Amapá (AP),96,922780464,14040775377</t>
  </si>
  <si>
    <t>Daniel,Salomao,Daniel Salomao,34255,Roraima (RR),95,977948235,64419682633</t>
  </si>
  <si>
    <t>Rosana,Bomfim,Rosana Bomfim,32213,Paraná (PR),41,995019566,95871254803</t>
  </si>
  <si>
    <t>Raíza,Azevedo,Raíza Azevedo,33159,Piauí (PI),86,992426130,55591541812</t>
  </si>
  <si>
    <t>Karina,Froufe,Karina Froufe,32755,Rio de Janeiro (RJ),21,913467404,99097018862</t>
  </si>
  <si>
    <t>Dayane,Yang,Dayane Yang,33052,Piauí (PI),86,968712824,7906953300</t>
  </si>
  <si>
    <t>Bianca,Jiun,Bianca Jiun,34230,Tocantins (TO),63,902712312,58559263096</t>
  </si>
  <si>
    <t>Thaina,Junqueira,Thaina Junqueira,32303,Pernambuco (PE),81,977266130,90582553667</t>
  </si>
  <si>
    <t>Alberto,Comas,Alberto Comas,33757,Paraná (PR),41,938348370,90969460068</t>
  </si>
  <si>
    <t>Taila,Li,Taila Li,32859,Goiás (GO),62,934641662,51825085589</t>
  </si>
  <si>
    <t>Izabelle,Guilhem,Izabelle Guilhem,33921,Rio Grande do Sul (RS),51,904149025,95706660600</t>
  </si>
  <si>
    <t>Lucca,Sant'Anna,Lucca Sant'Anna,33192,Maranhão (MA),98,992791120,72273778374</t>
  </si>
  <si>
    <t>Yan,Fragoso,Yan Fragoso,33911,Amazonas (AM),92,925340286,78490355141</t>
  </si>
  <si>
    <t>Raffael,Hippertt,Raffael Hippertt,33450,Mato Grosso do Sul (MS),84,941915816,78564798453</t>
  </si>
  <si>
    <t>Glenda,Duque,Glenda Duque,31224,Distrito Federal (DF),61,946058165,16961395593</t>
  </si>
  <si>
    <t>Tácio,Sarria,Tácio Sarria,32127,Bahia (BA),71,961536731,36025672493</t>
  </si>
  <si>
    <t>Wen,Bittencourt,Wen Bittencourt,33925,Rondônia (RO),69,983979650,49324095014</t>
  </si>
  <si>
    <t>Nickole,Provenzano,Nickole Provenzano,33651,Rondônia (RO),69,956596427,43983582778</t>
  </si>
  <si>
    <t>Nathalya,Vinícius,Nathalya Vinícius,32964,Rio Grande do Norte (RN),84,990647427,63062311383</t>
  </si>
  <si>
    <t>Célio,Sergio,Célio Sergio,31343,Bahia (BA),71,902441497,19764567632</t>
  </si>
  <si>
    <t>Natali,Sousa,Natali Sousa,31449,Distrito Federal (DF),61,959712875,77047612731</t>
  </si>
  <si>
    <t>Eduardo,Stellet,Eduardo Stellet,31972,Pernambuco (PE),81,974420088,73394863449</t>
  </si>
  <si>
    <t>Barbara,Baptista,Barbara Baptista,33931,Mato Grosso do Sul (MS),84,940644187,53865083316</t>
  </si>
  <si>
    <t>Kallena,Barros,Kallena Barros,31439,Paraná (PR),41,988087129,48976214390</t>
  </si>
  <si>
    <t>Raffael,Hippertt,Raffael Hippertt,33727,Mato Grosso do Sul (MS),84,957510903,19489099434</t>
  </si>
  <si>
    <t>Natali,Sousa,Natali Sousa,31527,Mato Grosso (MT),65,928638778,22402494104</t>
  </si>
  <si>
    <t>Nicholas,Caffaro,Nicholas Caffaro,31391,Alagoas (AL),82,920191368,20307505670</t>
  </si>
  <si>
    <t>Marjorie,Mathias,Marjorie Mathias,31913,Mato Grosso (MT),65,916927166,53449827919</t>
  </si>
  <si>
    <t>Nuno,Lara,Nuno Lara,34133,Tocantins (TO),63,996528498,59707502806</t>
  </si>
  <si>
    <t>Júlia,Júnior,Júlia Júnior,33222,São Paulo (SP),11,921454218,85932910751</t>
  </si>
  <si>
    <t>Fabricio,longo,Fabricio longo,31351,Santa Catarina (SC),48,909427532,67754059307</t>
  </si>
  <si>
    <t>Marcela,Labanca,Marcela Labanca,34067,Bahia (BA),71,961524854,9093499734</t>
  </si>
  <si>
    <t>Layssa,Grion,Layssa Grion,32891,Ceará (CE),88,936265810,46174200356</t>
  </si>
  <si>
    <t>José,Stockler,José Stockler,33741,Maranhão (MA),98,935938018,16446631823</t>
  </si>
  <si>
    <t>Ericka,Gallo,Ericka Gallo,31290,Paraíba (PB),83,910411758,76335348711</t>
  </si>
  <si>
    <t>Paula,César,Paula César,34164,Piauí (PI),86,932803163,52351450341</t>
  </si>
  <si>
    <t>Débora,Moraes,Débora Moraes,34019,Tocantins (TO),63,901482682,37725560289</t>
  </si>
  <si>
    <t>Joao,Azeredo,Joao Azeredo,32221,Minas Gerais (MG),31,963872439,58450649968</t>
  </si>
  <si>
    <t>Wen,Bittencourt,Wen Bittencourt,32590,Paraná (PR),41,953172529,23954870921</t>
  </si>
  <si>
    <t>Cassandra,Beatriz,Cassandra Beatriz,34072,Espírito Santo (ES),27,956232227,64788120561</t>
  </si>
  <si>
    <t>Tatiana,Mac,Tatiana Mac,34204,Rio de Janeiro (RJ),21,983047542,24982919330</t>
  </si>
  <si>
    <t>Tatiana,Mac,Tatiana Mac,31730,Paraná (PR),41,917110988,50487102999</t>
  </si>
  <si>
    <t>Rogério,Fontana,Rogério Fontana,33578,Rio Grande do Norte (RN),84,927418330,46457715579</t>
  </si>
  <si>
    <t>Adelino,Albano,Adelino Albano,31290,Ceará (CE),88,973152754,34113540346</t>
  </si>
  <si>
    <t>Sandy,Garambone,Sandy Garambone,31416,Goiás (GO),62,935789608,4431048718</t>
  </si>
  <si>
    <t>Michel,Yumi,Michel Yumi,32670,Maranhão (MA),98,929104617,76878240841</t>
  </si>
  <si>
    <t>Bianca,Jiun,Bianca Jiun,33440,Mato Grosso do Sul (MS),84,990555737,22899064001</t>
  </si>
  <si>
    <t>Marcella,Corrêa,Marcella Corrêa,33366,Mato Grosso (MT),65,907272016,99168020232</t>
  </si>
  <si>
    <t>Julliana,Carvalhal,Julliana Carvalhal,31777,Piauí (PI),86,965100969,99474987063</t>
  </si>
  <si>
    <t>Rebeca,Vinicius,Rebeca Vinicius,31219,Rio de Janeiro (RJ),21,946694182,4237013993</t>
  </si>
  <si>
    <t>Giulia,Volpi,Giulia Volpi,32265,Bahia (BA),71,925478620,1464444145</t>
  </si>
  <si>
    <t>Valentina,Chein,Valentina Chein,32793,Santa Catarina (SC),48,932096935,12272896902</t>
  </si>
  <si>
    <t>Maria,Kranz,Maria Kranz,31721,Maranhão (MA),98,930916964,86446506741</t>
  </si>
  <si>
    <t>Carla,Schneebeli,Carla Schneebeli,33484,Espírito Santo (ES),27,958591936,8150436136</t>
  </si>
  <si>
    <t>Júlia,Júnior,Júlia Júnior,33981,São Paulo (SP),11,997503453,39606931026</t>
  </si>
  <si>
    <t>Gizele,Valladares,Gizele Valladares,34103,Rio de Janeiro (RJ),21,937477468,21257808588</t>
  </si>
  <si>
    <t>Thomaz,Centurione,Thomaz Centurione,33580,Rio de Janeiro (RJ),21,981102138,33341600617</t>
  </si>
  <si>
    <t>Fillipe,Hejda,Fillipe Hejda,31877,Tocantins (TO),63,903931749,95468152101</t>
  </si>
  <si>
    <t>Lígia,Luiza,Lígia Luiza,33355,Bahia (BA),71,949268767,81512196920</t>
  </si>
  <si>
    <t>Willian,Helena,Willian Helena,33827,Ceará (CE),88,923603457,74774626439</t>
  </si>
  <si>
    <t>Jéssica,Campos,Jéssica Campos,31912,Pernambuco (PE),81,959348949,18779471887</t>
  </si>
  <si>
    <t>Cleberson,Miranda,Cleberson Miranda,32362,Rondônia (RO),69,965978876,80936161723</t>
  </si>
  <si>
    <t>Yuri,Henriques,Yuri Henriques,31407,Mato Grosso (MT),65,976112806,4874927167</t>
  </si>
  <si>
    <t>Isabelly,Rocha,Isabelly Rocha,34316,Maranhão (MA),98,919593933,61170970458</t>
  </si>
  <si>
    <t>Igor,Caldas,Igor Caldas,33880,Amazonas (AM),92,953696675,90729894840</t>
  </si>
  <si>
    <t>Karen,Rabelo,Karen Rabelo,32082,Pará (PA),91,951857689,36900503001</t>
  </si>
  <si>
    <t>Wendel,Tribuzy,Wendel Tribuzy,34117,Pernambuco (PE),81,954840018,68428810802</t>
  </si>
  <si>
    <t>Lohany,Cesar,Lohany Cesar,33542,Mato Grosso do Sul (MS),84,993340058,14837384758</t>
  </si>
  <si>
    <t>Christiana,Berlandez,Christiana Berlandez,33613,Rio de Janeiro (RJ),21,943249473,78545472911</t>
  </si>
  <si>
    <t>Morgana,Silveira,Morgana Silveira,32639,Amapá (AP),96,919239249,93240261030</t>
  </si>
  <si>
    <t>Catarina,Cavalcanti,Catarina Cavalcanti,31745,Roraima (RR),95,933647123,59007625622</t>
  </si>
  <si>
    <t>Gisely,Fagundes,Gisely Fagundes,33509,Mato Grosso do Sul (MS),84,938596502,29625974637</t>
  </si>
  <si>
    <t>Eriko,Erthal,Eriko Erthal,33708,Rio Grande do Sul (RS),51,906519595,52655404793</t>
  </si>
  <si>
    <t>Flávio,Almawi,Flávio Almawi,31384,Paraná (PR),41,911957911,68827434066</t>
  </si>
  <si>
    <t>Giovanni,Furtado,Giovanni Furtado,34318,Amapá (AP),96,940932753,9406451778</t>
  </si>
  <si>
    <t>Barbara,Baptista,Barbara Baptista,31748,Santa Catarina (SC),48,939165348,99294285118</t>
  </si>
  <si>
    <t>Stela,Whitaker,Stela Whitaker,33560,Minas Gerais (MG),31,963952651,66585352780</t>
  </si>
  <si>
    <t>Nathalie,Macedo,Nathalie Macedo,31814,Rio Grande do Sul (RS),51,990913851,13372446168</t>
  </si>
  <si>
    <t>Julie,Piero,Julie Piero,33835,Goiás (GO),62,928857557,64007672379</t>
  </si>
  <si>
    <t>Katharina,Ana,Katharina Ana,32540,Distrito Federal (DF),61,924577954,57286357319</t>
  </si>
  <si>
    <t>Adrian,Torres,Adrian Torres,32139,Minas Gerais (MG),31,998862949,18060013728</t>
  </si>
  <si>
    <t>Teresa,Moutinho,Teresa Moutinho,32112,Tocantins (TO),63,920870539,71335241954</t>
  </si>
  <si>
    <t>Alexandra,de,Alexandra de,34215,Rondônia (RO),69,905406710,54109052332</t>
  </si>
  <si>
    <t>Clarissa,Franco,Clarissa Franco,32364,Roraima (RR),95,902743258,42367341518</t>
  </si>
  <si>
    <t>Fernanda,Aballo,Fernanda Aballo,31516,Roraima (RR),95,908373055,25275809078</t>
  </si>
  <si>
    <t>Thomas,Campelo,Thomas Campelo,32049,Sergipe (SE),79,981682187,82400146888</t>
  </si>
  <si>
    <t>Venan,Smolarek,Venan Smolarek,32274,Rio de Janeiro (RJ),21,947106326,87304159419</t>
  </si>
  <si>
    <t>Filippo,Suzano,Filippo Suzano,32467,Paraíba (PB),83,981228434,21695286703</t>
  </si>
  <si>
    <t>Mayná,Goldoni,Mayná Goldoni,32385,Bahia (BA),71,950375136,16832758604</t>
  </si>
  <si>
    <t>Vivianne,Arineli,Vivianne Arineli,32931,Minas Gerais (MG),31,904728949,62813092546</t>
  </si>
  <si>
    <t>Isadora,Elisa,Isadora Elisa,33218,Distrito Federal (DF),61,941808761,98771937326</t>
  </si>
  <si>
    <t>Mariana,Felix,Mariana Felix,31258,Sergipe (SE),79,918391524,59427475940</t>
  </si>
  <si>
    <t>Bruno,Cozendey,Bruno Cozendey,32140,Piauí (PI),86,979464294,88132263985</t>
  </si>
  <si>
    <t>Jéssica,Campos,Jéssica Campos,31116,Ceará (CE),88,940953837,8854872483</t>
  </si>
  <si>
    <t>Mônica,Faller,Mônica Faller,32841,Pará (PA),91,985119459,76840355423</t>
  </si>
  <si>
    <t>Karollayne,Lopes,Karollayne Lopes,32797,Goiás (GO),62,915746697,55808896571</t>
  </si>
  <si>
    <t>Leonardo,Souza,Leonardo Souza,32165,Acre (AC),68,989798311,61149153240</t>
  </si>
  <si>
    <t>Cinthia,Hermano,Cinthia Hermano,33566,Goiás (GO),62,943525193,15149631709</t>
  </si>
  <si>
    <t>Beatriz,Gomes,Beatriz Gomes,31261,Goiás (GO),62,966212562,57757228899</t>
  </si>
  <si>
    <t>Giuseppe,Monte,Giuseppe Monte,33450,Rio Grande do Norte (RN),84,974292338,48993469832</t>
  </si>
  <si>
    <t>Yasmine,Rubinstein,Yasmine Rubinstein,33418,Minas Gerais (MG),31,919174819,6652481127</t>
  </si>
  <si>
    <t>Sergio,Ognibene,Sergio Ognibene,33479,Acre (AC),68,913040152,20268064339</t>
  </si>
  <si>
    <t>Érica,Coelho,Érica Coelho,32457,Alagoas (AL),82,908812570,46817664276</t>
  </si>
  <si>
    <t>Alexandre,Bizzo,Alexandre Bizzo,34108,Paraíba (PB),83,962737287,26515447926</t>
  </si>
  <si>
    <t>Leandro,Fontenelle,Leandro Fontenelle,32459,Espírito Santo (ES),27,909750522,71250557592</t>
  </si>
  <si>
    <t>Fernanda,Aballo,Fernanda Aballo,32735,Pará (PA),91,928579146,95495892411</t>
  </si>
  <si>
    <t>Thomaz,Centurione,Thomaz Centurione,32734,Rio de Janeiro (RJ),21,951845722,11022474095</t>
  </si>
  <si>
    <t>Cynthia,Tostes,Cynthia Tostes,32554,Rio Grande do Sul (RS),51,969154423,91105179059</t>
  </si>
  <si>
    <t>Alex,Paes,Alex Paes,31527,Amapá (AP),96,935191641,86786911910</t>
  </si>
  <si>
    <t>Walter,Ferrer,Walter Ferrer,32384,Alagoas (AL),82,935415899,27798929817</t>
  </si>
  <si>
    <t>Iris,Hudson,Iris Hudson,31967,Rio de Janeiro (RJ),21,956765539,26226956157</t>
  </si>
  <si>
    <t>Juan,Rubin,Juan Rubin,32214,Maranhão (MA),98,957174883,62304613240</t>
  </si>
  <si>
    <t>José,Stockler,José Stockler,33733,Rondônia (RO),69,993343415,75057744737</t>
  </si>
  <si>
    <t>Roberto,Malavolti,Roberto Malavolti,31445,Acre (AC),68,945257482,38019341817</t>
  </si>
  <si>
    <t>Lorena,Sofia,Lorena Sofia,32046,Distrito Federal (DF),61,955478525,98822942463</t>
  </si>
  <si>
    <t>jucelia,Iris,jucelia Iris,33868,Rio de Janeiro (RJ),21,998031467,30048327446</t>
  </si>
  <si>
    <t>Victória,Mosqueira,Victória Mosqueira,31757,Alagoas (AL),82,907480733,24397532743</t>
  </si>
  <si>
    <t>Paula,César,Paula César,31530,Tocantins (TO),63,952333505,20605836725</t>
  </si>
  <si>
    <t>Edgard,Alves,Edgard Alves,33557,Minas Gerais (MG),31,966898346,8553214010</t>
  </si>
  <si>
    <t>Edgard,Alves,Edgard Alves,33409,Pará (PA),91,918345496,96675999919</t>
  </si>
  <si>
    <t>André,Augusto,André Augusto,33394,Sergipe (SE),79,924994579,76129456558</t>
  </si>
  <si>
    <t>Tiago,Brendalina,Tiago Brendalina,31760,Rio Grande do Norte (RN),84,920614317,58804353102</t>
  </si>
  <si>
    <t>Débora,Moraes,Débora Moraes,31900,Espírito Santo (ES),27,975742290,98113114682</t>
  </si>
  <si>
    <t>Dykson,Blumberg,Dykson Blumberg,31543,Amapá (AP),96,962478436,48387752671</t>
  </si>
  <si>
    <t>Beatriz,Gomes,Beatriz Gomes,34279,Mato Grosso (MT),65,907004516,20894619972</t>
  </si>
  <si>
    <t>Marília,Santana,Marília Santana,31583,Pará (PA),91,958511731,41554302425</t>
  </si>
  <si>
    <t>Rafael,Bartholo,Rafael Bartholo,33793,Pará (PA),91,959701649,38265426133</t>
  </si>
  <si>
    <t>Yuri,Henriques,Yuri Henriques,32865,Roraima (RR),95,965932064,36656572968</t>
  </si>
  <si>
    <t>Daniele,Bogossian,Daniele Bogossian,32441,Pernambuco (PE),81,910407250,18955897090</t>
  </si>
  <si>
    <t>Alvaro,Bretas,Alvaro Bretas,32966,Rondônia (RO),69,971799160,8921400675</t>
  </si>
  <si>
    <t>Edgard,Alves,Edgard Alves,32143,Mato Grosso (MT),65,920010759,29496903501</t>
  </si>
  <si>
    <t>Chan,Mello,Chan Mello,31999,Rio de Janeiro (RJ),21,959741874,55261971870</t>
  </si>
  <si>
    <t>Tadeu,Perim,Tadeu Perim,31624,Rio Grande do Sul (RS),51,937262744,37008956611</t>
  </si>
  <si>
    <t>Nina,Faria,Nina Faria,32020,Paraíba (PB),83,970761248,86795691474</t>
  </si>
  <si>
    <t>Vito,Ronfini,Vito Ronfini,32016,Ceará (CE),88,992378329,80666493614</t>
  </si>
  <si>
    <t>Erick,Nico,Erick Nico,31605,Rio Grande do Sul (RS),51,917806463,85629096031</t>
  </si>
  <si>
    <t>Caroll,Casal,Caroll Casal,32284,Rio de Janeiro (RJ),21,936794834,84656696256</t>
  </si>
  <si>
    <t>Cristiane,Fioravante,Cristiane Fioravante,31234,Pernambuco (PE),81,992642088,18203113346</t>
  </si>
  <si>
    <t>Emilaine,Serra,Emilaine Serra,32860,Rio Grande do Norte (RN),84,919418484,94393139656</t>
  </si>
  <si>
    <t>Mariana,Felix,Mariana Felix,31334,Piauí (PI),86,913945127,23076976073</t>
  </si>
  <si>
    <t>Daniele,Bogossian,Daniele Bogossian,31979,Roraima (RR),95,926736267,10387406354</t>
  </si>
  <si>
    <t>Desirée,Oliveira,Desirée Oliveira,32651,Roraima (RR),95,978723425,54266090282</t>
  </si>
  <si>
    <t>Edson,Soibelman,Edson Soibelman,31656,Goiás (GO),62,926980535,58699631925</t>
  </si>
  <si>
    <t>Laiza,Ahnert,Laiza Ahnert,34021,Tocantins (TO),63,952549071,56511287826</t>
  </si>
  <si>
    <t>Roger,Fuchs,Roger Fuchs,32482,Ceará (CE),88,980462549,425521311</t>
  </si>
  <si>
    <t>Eugênio,Rangel,Eugênio Rangel,31590,Espírito Santo (ES),27,986736061,51524264803</t>
  </si>
  <si>
    <t>Yohanan,Barrionuevo,Yohanan Barrionuevo,33230,Mato Grosso do Sul (MS),84,983911100,31355963026</t>
  </si>
  <si>
    <t>Ully,Miura,Ully Miura,34330,Rio de Janeiro (RJ),21,936432262,17127927346</t>
  </si>
  <si>
    <t>Ravena,Varella,Ravena Varella,31450,Roraima (RR),95,925174690,67213870385</t>
  </si>
  <si>
    <t>Claudia,Gama,Claudia Gama,33103,Rio Grande do Sul (RS),51,973068733,25523073699</t>
  </si>
  <si>
    <t>Reinaldo,Silotti,Reinaldo Silotti,32282,Amazonas (AM),92,946704261,31229091565</t>
  </si>
  <si>
    <t>Thamiris,Marinho,Thamiris Marinho,32344,Espírito Santo (ES),27,912868961,17382330528</t>
  </si>
  <si>
    <t>Renato,Vannier,Renato Vannier,34312,Maranhão (MA),98,996107975,75394212592</t>
  </si>
  <si>
    <t>Suelen,Accardo,Suelen Accardo,32393,Goiás (GO),62,946421822,44518893813</t>
  </si>
  <si>
    <t>José,Stockler,José Stockler,31276,Bahia (BA),71,915002334,16063969120</t>
  </si>
  <si>
    <t>Hugo,Medeiros,Hugo Medeiros,31748,Sergipe (SE),79,930172603,5415562811</t>
  </si>
  <si>
    <t>Artur,Felipe,Artur Felipe,32282,Paraíba (PB),83,982478838,55153081570</t>
  </si>
  <si>
    <t>Verônica,Penna,Verônica Penna,33390,Alagoas (AL),82,946947248,13295401574</t>
  </si>
  <si>
    <t>Neilton,Guedes,Neilton Guedes,32301,Tocantins (TO),63,953922702,21879675154</t>
  </si>
  <si>
    <t>Yan,Fragoso,Yan Fragoso,32363,Pernambuco (PE),81,994240755,24531555921</t>
  </si>
  <si>
    <t>Helena,Aya,Helena Aya,34221,Minas Gerais (MG),31,949368118,16398792605</t>
  </si>
  <si>
    <t>Ylana,Russo,Ylana Russo,31301,Pará (PA),91,983554651,87580174904</t>
  </si>
  <si>
    <t>Thauan,Chousa,Thauan Chousa,31840,Pará (PA),91,981244646,18129291026</t>
  </si>
  <si>
    <t>Giovanna,Alledi,Giovanna Alledi,31375,Sergipe (SE),79,961357244,1360197573</t>
  </si>
  <si>
    <t>Ylana,Russo,Ylana Russo,32117,Espírito Santo (ES),27,971418386,5269737777</t>
  </si>
  <si>
    <t>Talline,Primo,Talline Primo,33156,Tocantins (TO),63,959773371,57150330688</t>
  </si>
  <si>
    <t>Yan,Fragoso,Yan Fragoso,32241,Bahia (BA),71,956086725,44594821262</t>
  </si>
  <si>
    <t>Mauricio,Mendes,Mauricio Mendes,32221,Mato Grosso do Sul (MS),84,916590756,89494822532</t>
  </si>
  <si>
    <t>Christian,Arantes,Christian Arantes,32994,Acre (AC),68,922861020,85180226876</t>
  </si>
  <si>
    <t>Marcio,Miguel,Marcio Miguel,33587,Goiás (GO),62,925260362,86687545894</t>
  </si>
  <si>
    <t>Vívian,Espinosa,Vívian Espinosa,32559,Paraná (PR),41,958473994,71512244937</t>
  </si>
  <si>
    <t>Thays,Thome,Thays Thome,33240,Goiás (GO),62,945349597,12526786623</t>
  </si>
  <si>
    <t>Isaac,Mineiro,Isaac Mineiro,33260,Maranhão (MA),98,923270006,11723716374</t>
  </si>
  <si>
    <t>Fellipe,Almeida,Fellipe Almeida,33190,Bahia (BA),71,994155107,58739082347</t>
  </si>
  <si>
    <t>Isabella,Cristina,Isabella Cristina,31909,Acre (AC),68,993772990,51648606068</t>
  </si>
  <si>
    <t>Vitória,Gabrielle,Vitória Gabrielle,33572,Ceará (CE),88,911007893,46114078685</t>
  </si>
  <si>
    <t>Desirée,Oliveira,Desirée Oliveira,32256,Pernambuco (PE),81,994602843,24026591838</t>
  </si>
  <si>
    <t>Raíssa,Jean,Raíssa Jean,33040,Distrito Federal (DF),61,986990734,39843307438</t>
  </si>
  <si>
    <t>Monique,Duarte,Monique Duarte,32827,Piauí (PI),86,948590782,83490707804</t>
  </si>
  <si>
    <t>Gabrielle,Baltar,Gabrielle Baltar,33232,Pernambuco (PE),81,900804544,70638636026</t>
  </si>
  <si>
    <t>Gabriela,Cristine,Gabriela Cristine,32550,Alagoas (AL),82,975793607,47374269447</t>
  </si>
  <si>
    <t>Paula,César,Paula César,31957,Tocantins (TO),63,949801038,54481147759</t>
  </si>
  <si>
    <t>Wellington,Fioretti,Wellington Fioretti,34177,Piauí (PI),86,971926540,5544708490</t>
  </si>
  <si>
    <t>Lívia,Leivyson,Lívia Leivyson,33498,Mato Grosso do Sul (MS),84,969044666,83233129922</t>
  </si>
  <si>
    <t>Leandro,Fontenelle,Leandro Fontenelle,33755,Roraima (RR),95,979999685,74960287675</t>
  </si>
  <si>
    <t>Rafaela,Pinheiro,Rafaela Pinheiro,31470,Mato Grosso do Sul (MS),84,935179069,83015977775</t>
  </si>
  <si>
    <t>Juann,Freitas,Juann Freitas,33866,Mato Grosso do Sul (MS),84,921426235,3769210556</t>
  </si>
  <si>
    <t>Mateus,Ladogano,Mateus Ladogano,33933,Rondônia (RO),69,914421939,10228469828</t>
  </si>
  <si>
    <t>Christine,Rodrigues,Christine Rodrigues,31107,Maranhão (MA),98,991678662,46764237764</t>
  </si>
  <si>
    <t>Douglas,Lessa,Douglas Lessa,33457,Acre (AC),68,903014178,92402379732</t>
  </si>
  <si>
    <t>Hyago,Roberto,Hyago Roberto,33625,Rio Grande do Norte (RN),84,958854158,72852908894</t>
  </si>
  <si>
    <t>Tayna,Bachini,Tayna Bachini,34335,Ceará (CE),88,957341130,81902445354</t>
  </si>
  <si>
    <t>Nayne,Gouvêa,Nayne Gouvêa,33155,Acre (AC),68,992782068,74855860134</t>
  </si>
  <si>
    <t>Elaine,Caroline,Elaine Caroline,32142,Minas Gerais (MG),31,989643882,51485134743</t>
  </si>
  <si>
    <t>Maciela,Freixo,Maciela Freixo,31846,Tocantins (TO),63,910714414,11715024046</t>
  </si>
  <si>
    <t>Yago,Salomão,Yago Salomão,32265,Paraná (PR),41,988421224,17715209509</t>
  </si>
  <si>
    <t>Nickole,Provenzano,Nickole Provenzano,32070,São Paulo (SP),11,924507440,4497380831</t>
  </si>
  <si>
    <t>Drielly,Victório,Drielly Victório,32407,Paraná (PR),41,902888770,36024616810</t>
  </si>
  <si>
    <t>Jeferson,Dainara,Jeferson Dainara,31590,Amazonas (AM),92,931452078,37885863977</t>
  </si>
  <si>
    <t>Naiara,Nobili,Naiara Nobili,33768,Minas Gerais (MG),31,934423246,43118067105</t>
  </si>
  <si>
    <t>Danielle,Martins,Danielle Martins,33286,Alagoas (AL),82,976699609,91027681065</t>
  </si>
  <si>
    <t>Gabriela,Cristine,Gabriela Cristine,32596,Ceará (CE),88,958211618,35930970007</t>
  </si>
  <si>
    <t>Thaís,Nemitz,Thaís Nemitz,33945,Pernambuco (PE),81,951852119,46666556864</t>
  </si>
  <si>
    <t>Constantino,Carvalho,Constantino Carvalho,32518,Amapá (AP),96,986212704,24588687815</t>
  </si>
  <si>
    <t>Edjailma,Montenegro,Edjailma Montenegro,32409,Distrito Federal (DF),61,920279587,33794650764</t>
  </si>
  <si>
    <t>Stella,Morais,Stella Morais,33265,Paraná (PR),41,904348122,1734338257</t>
  </si>
  <si>
    <t>Ângelo,Destri,Ângelo Destri,31915,Mato Grosso do Sul (MS),84,945989195,55654641486</t>
  </si>
  <si>
    <t>Nélio,Bakman,Nélio Bakman,32558,Amapá (AP),96,900599107,99891713857</t>
  </si>
  <si>
    <t>Rachel,Botelho,Rachel Botelho,33689,Rio Grande do Norte (RN),84,989905312,87381497107</t>
  </si>
  <si>
    <t>Alex,Paes,Alex Paes,31845,Amazonas (AM),92,910402935,17164921589</t>
  </si>
  <si>
    <t>Micaele,Carneiro,Micaele Carneiro,32625,Alagoas (AL),82,910033334,34333640019</t>
  </si>
  <si>
    <t>Beatriz,Gomes,Beatriz Gomes,32040,Amapá (AP),96,980899840,84793560287</t>
  </si>
  <si>
    <t>Karollayne,Lopes,Karollayne Lopes,31134,Rio Grande do Norte (RN),84,955261006,76774144640</t>
  </si>
  <si>
    <t>Guilherme,Sena,Guilherme Sena,31912,Pernambuco (PE),81,966054978,1029046782</t>
  </si>
  <si>
    <t>Edson,Soibelman,Edson Soibelman,31643,Minas Gerais (MG),31,997169627,45725104955</t>
  </si>
  <si>
    <t>Rubyson,Veríssimo,Rubyson Veríssimo,31110,Rio Grande do Norte (RN),84,928983391,22982514324</t>
  </si>
  <si>
    <t>Giovani,Ventura,Giovani Ventura,33994,Bahia (BA),71,988501156,26570738979</t>
  </si>
  <si>
    <t>Cristiane,Fioravante,Cristiane Fioravante,34098,Espírito Santo (ES),27,999326045,71801251428</t>
  </si>
  <si>
    <t>Lorena,Sofia,Lorena Sofia,32068,Espírito Santo (ES),27,952456893,68505742137</t>
  </si>
  <si>
    <t>Paulo,Arouca,Paulo Arouca,34136,Maranhão (MA),98,944094893,11820370062</t>
  </si>
  <si>
    <t>Gleydson,Godinho,Gleydson Godinho,33856,Acre (AC),68,918400850,75690566884</t>
  </si>
  <si>
    <t>Hiaiune,Abranches,Hiaiune Abranches,33513,Maranhão (MA),98,986055634,53083069032</t>
  </si>
  <si>
    <t>Venan,Smolarek,Venan Smolarek,33601,Rondônia (RO),69,933649144,94504246194</t>
  </si>
  <si>
    <t>Jamile,Jardim,Jamile Jardim,32797,Amazonas (AM),92,971643689,44643592764</t>
  </si>
  <si>
    <t>Tadeu,Perim,Tadeu Perim,31433,Pernambuco (PE),81,980564640,27065335092</t>
  </si>
  <si>
    <t>Rogério,Fontana,Rogério Fontana,33914,Paraná (PR),41,945020767,85092825968</t>
  </si>
  <si>
    <t>Letícia,Ferreirinha,Letícia Ferreirinha,33370,Maranhão (MA),98,935543095,19956407825</t>
  </si>
  <si>
    <t>Amanda,Bastos,Amanda Bastos,32086,Paraná (PR),41,944655965,2079549319</t>
  </si>
  <si>
    <t>Andreza,Thamires,Andreza Thamires,33151,Paraná (PR),41,939481242,2661134770</t>
  </si>
  <si>
    <t>Tiago,Brendalina,Tiago Brendalina,33110,Sergipe (SE),79,963833886,29146020846</t>
  </si>
  <si>
    <t>Hiaiune,Abranches,Hiaiune Abranches,34277,Amapá (AP),96,901696839,81218679050</t>
  </si>
  <si>
    <t>Erik,Cortes,Erik Cortes,31766,Ceará (CE),88,991766583,97577586358</t>
  </si>
  <si>
    <t>Karoline,Pacheco,Karoline Pacheco,34279,Mato Grosso do Sul (MS),84,983533223,83228179664</t>
  </si>
  <si>
    <t>Joyce,Renato,Joyce Renato,32533,São Paulo (SP),11,949914218,16166249574</t>
  </si>
  <si>
    <t>Gabriela,Cristine,Gabriela Cristine,34258,Espírito Santo (ES),27,981638215,80178566760</t>
  </si>
  <si>
    <t>Júlio,Mattos,Júlio Mattos,32982,Maranhão (MA),98,992307856,72072247854</t>
  </si>
  <si>
    <t>Deysiane,Gouveia,Deysiane Gouveia,33355,Pará (PA),91,902284632,25566836828</t>
  </si>
  <si>
    <t>Luiza,Andréa,Luiza Andréa,34126,São Paulo (SP),11,986249008,68964742568</t>
  </si>
  <si>
    <t>Henrique,Domingues,Henrique Domingues,31334,Piauí (PI),86,942824696,67449122993</t>
  </si>
  <si>
    <t>Geam,Yudi,Geam Yudi,31085,Amazonas (AM),92,955815784,14153529119</t>
  </si>
  <si>
    <t>Izabelle,Guilhem,Izabelle Guilhem,31329,Rondônia (RO),69,968050601,15000833326</t>
  </si>
  <si>
    <t>Bruno,Cozendey,Bruno Cozendey,32632,Sergipe (SE),79,938832724,91425897508</t>
  </si>
  <si>
    <t>William,Catarino,William Catarino,33774,Distrito Federal (DF),61,929834843,183698426</t>
  </si>
  <si>
    <t>Karollayne,Lopes,Karollayne Lopes,31267,Ceará (CE),88,959663671,5873332290</t>
  </si>
  <si>
    <t>Simone,Sayuri,Simone Sayuri,34044,Mato Grosso do Sul (MS),84,963192388,9796143459</t>
  </si>
  <si>
    <t>Hiago,Chagas,Hiago Chagas,32208,Piauí (PI),86,917276287,97357064037</t>
  </si>
  <si>
    <t>Lais,Flôr,Lais Flôr,33991,Distrito Federal (DF),61,975693153,74202519977</t>
  </si>
  <si>
    <t>Camilla,Côrte-Real,Camilla Côrte-Real,31284,Maranhão (MA),98,999466292,83932786645</t>
  </si>
  <si>
    <t>Ângelo,Destri,Ângelo Destri,33569,Minas Gerais (MG),31,988503394,53045474659</t>
  </si>
  <si>
    <t>Adriano,Machado,Adriano Machado,31977,Acre (AC),68,926231285,64672273905</t>
  </si>
  <si>
    <t>Edson,Soibelman,Edson Soibelman,33715,Sergipe (SE),79,912578038,38656658712</t>
  </si>
  <si>
    <t>Geani,Francisco,Geani Francisco,34100,Santa Catarina (SC),48,904218393,15114213007</t>
  </si>
  <si>
    <t>Luísa,Heleno,Luísa Heleno,32192,Rio Grande do Norte (RN),84,939183387,64132954738</t>
  </si>
  <si>
    <t>Alan,Lund,Alan Lund,32125,Acre (AC),68,967436247,96956279253</t>
  </si>
  <si>
    <t>Raquel,Moura,Raquel Moura,32077,Alagoas (AL),82,978595644,48176182582</t>
  </si>
  <si>
    <t>Stella,Morais,Stella Morais,34204,Goiás (GO),62,992498132,41951440240</t>
  </si>
  <si>
    <t>Helvio,Coutinho,Helvio Coutinho,32349,Distrito Federal (DF),61,993699215,52785823488</t>
  </si>
  <si>
    <t>Alon,Alana,Alon Alana,33244,Bahia (BA),71,940122066,79274207311</t>
  </si>
  <si>
    <t>Lorena,Sofia,Lorena Sofia,31550,Paraíba (PB),83,925635184,17529963262</t>
  </si>
  <si>
    <t>Lais,Flôr,Lais Flôr,31332,Mato Grosso do Sul (MS),84,965401410,67664800854</t>
  </si>
  <si>
    <t>Fátima,Garcia,Fátima Garcia,33366,Alagoas (AL),82,901852753,13106804693</t>
  </si>
  <si>
    <t>Valentina,Chein,Valentina Chein,33387,Acre (AC),68,965698752,71157052138</t>
  </si>
  <si>
    <t>Luan,Farah,Luan Farah,32112,Piauí (PI),86,900271291,18318379572</t>
  </si>
  <si>
    <t>Michel,Yumi,Michel Yumi,33567,Acre (AC),68,918160346,31259350058</t>
  </si>
  <si>
    <t>Raquel,Moura,Raquel Moura,31731,Amapá (AP),96,906856881,60919918785</t>
  </si>
  <si>
    <t>Thayane,Menezes,Thayane Menezes,33515,Espírito Santo (ES),27,994249636,28477988297</t>
  </si>
  <si>
    <t>Marianna,Fróes,Marianna Fróes,31125,Bahia (BA),71,977737355,46964849826</t>
  </si>
  <si>
    <t>Brenda,Brito,Brenda Brito,32398,Espírito Santo (ES),27,922203897,75646538726</t>
  </si>
  <si>
    <t>Izabella,Messias,Izabella Messias,33544,São Paulo (SP),11,975560276,22514831182</t>
  </si>
  <si>
    <t>Daniella,Tkotz,Daniella Tkotz,33963,Tocantins (TO),63,941176079,94799018016</t>
  </si>
  <si>
    <t>Matheus,Magalhães,Matheus Magalhães,32566,Maranhão (MA),98,907368105,44664409449</t>
  </si>
  <si>
    <t>Ester,Licurci,Ester Licurci,31116,Goiás (GO),62,942429215,65780308662</t>
  </si>
  <si>
    <t>Jônatas,Bruna,Jônatas Bruna,31251,Alagoas (AL),82,917119601,35658426143</t>
  </si>
  <si>
    <t>Thuany,Rodrigo,Thuany Rodrigo,34193,Amazonas (AM),92,971994384,12226413915</t>
  </si>
  <si>
    <t>Giulia,Volpi,Giulia Volpi,32883,Acre (AC),68,901892684,59974567135</t>
  </si>
  <si>
    <t>Yasser,Tsuyoshi,Yasser Tsuyoshi,33678,São Paulo (SP),11,966021179,15647743291</t>
  </si>
  <si>
    <t>Paola,Kalaf,Paola Kalaf,32262,Alagoas (AL),82,941520387,34295733321</t>
  </si>
  <si>
    <t>Marianne,Pires,Marianne Pires,31769,Pará (PA),91,994021855,39495190787</t>
  </si>
  <si>
    <t>Roberta,Pedrazza,Roberta Pedrazza,34207,Maranhão (MA),98,951188184,34942033306</t>
  </si>
  <si>
    <t>Helga,Zambrotti,Helga Zambrotti,32849,Pará (PA),91,947237530,81361798738</t>
  </si>
  <si>
    <t>Thomáz,Barcelos,Thomáz Barcelos,33890,Minas Gerais (MG),31,949344522,94536498876</t>
  </si>
  <si>
    <t>Marco,Roças,Marco Roças,34201,Santa Catarina (SC),48,995568010,19391670572</t>
  </si>
  <si>
    <t>Silvio,Kohn,Silvio Kohn,32194,Sergipe (SE),79,994487949,92092274021</t>
  </si>
  <si>
    <t>Dykson,Blumberg,Dykson Blumberg,31812,Roraima (RR),95,929668053,52761404264</t>
  </si>
  <si>
    <t>Alexia,Henrique,Alexia Henrique,31235,Mato Grosso do Sul (MS),84,904787705,62053067770</t>
  </si>
  <si>
    <t>Christiane,Jobim,Christiane Jobim,31885,Espírito Santo (ES),27,998342656,51506500853</t>
  </si>
  <si>
    <t>Victor,Anunciação,Victor Anunciação,33066,Mato Grosso (MT),65,990898653,34964030940</t>
  </si>
  <si>
    <t>Clara,Pontes,Clara Pontes,33026,Sergipe (SE),79,969992489,48855932904</t>
  </si>
  <si>
    <t>Ary,Araujo,Ary Araujo,31568,Santa Catarina (SC),48,938213164,72347596180</t>
  </si>
  <si>
    <t>Anna,Rey,Anna Rey,31896,Rio Grande do Sul (RS),51,922647567,48590019860</t>
  </si>
  <si>
    <t>Daiana,do,Daiana do,33298,Amazonas (AM),92,975055815,79574485441</t>
  </si>
  <si>
    <t>Filipe,Ribeiro,Filipe Ribeiro,32096,Rio Grande do Norte (RN),84,950864817,79224103903</t>
  </si>
  <si>
    <t>Jackson,Pellegrini,Jackson Pellegrini,34268,Goiás (GO),62,974374584,30990854401</t>
  </si>
  <si>
    <t>Álvaro,Valle,Álvaro Valle,33283,Espírito Santo (ES),27,992256956,60615587117</t>
  </si>
  <si>
    <t>Victória,Mosqueira,Victória Mosqueira,31319,Pernambuco (PE),81,956454720,12225217559</t>
  </si>
  <si>
    <t>Wen,Bittencourt,Wen Bittencourt,34184,Acre (AC),68,960838754,38069383630</t>
  </si>
  <si>
    <t>Felipe,Fernandes,Felipe Fernandes,33908,Goiás (GO),62,979703598,86714651856</t>
  </si>
  <si>
    <t>Ylana,Russo,Ylana Russo,33076,Rio Grande do Sul (RS),51,948820601,59587131082</t>
  </si>
  <si>
    <t>Rogério,Fontana,Rogério Fontana,34029,Rio Grande do Norte (RN),84,961773761,7421256260</t>
  </si>
  <si>
    <t>Ighor,Maia,Ighor Maia,33130,Rio Grande do Norte (RN),84,922262105,53372388250</t>
  </si>
  <si>
    <t>Elena,Ferreira,Elena Ferreira,32526,Rio Grande do Norte (RN),84,955870350,76008492520</t>
  </si>
  <si>
    <t>Tayane,Cavalca,Tayane Cavalca,34000,Alagoas (AL),82,985438553,70664165863</t>
  </si>
  <si>
    <t>Hugo,Medeiros,Hugo Medeiros,32149,Alagoas (AL),82,960521335,13211643035</t>
  </si>
  <si>
    <t>Lidiane,Alan,Lidiane Alan,31783,Pará (PA),91,974417971,15651185867</t>
  </si>
  <si>
    <t>Gizele,Valladares,Gizele Valladares,34061,Sergipe (SE),79,932050500,34214960373</t>
  </si>
  <si>
    <t>Melissa,Franca,Melissa Franca,34140,Mato Grosso (MT),65,912885348,30329382825</t>
  </si>
  <si>
    <t>Edjailma,Montenegro,Edjailma Montenegro,34014,Rio Grande do Norte (RN),84,969809013,72984305190</t>
  </si>
  <si>
    <t>Elio,Espíndola,Elio Espíndola,33425,Ceará (CE),88,935018722,5397321951</t>
  </si>
  <si>
    <t>Thainá,Arslanian,Thainá Arslanian,32151,Paraíba (PB),83,925946559,14316337518</t>
  </si>
  <si>
    <t>Hugo,Medeiros,Hugo Medeiros,31448,Mato Grosso (MT),65,944031059,58577574160</t>
  </si>
  <si>
    <t>Pâmella,Rayol,Pâmella Rayol,33536,Mato Grosso (MT),65,913249159,73122931873</t>
  </si>
  <si>
    <t>Lígia,Luiza,Lígia Luiza,32358,Ceará (CE),88,970004894,34896161118</t>
  </si>
  <si>
    <t>Carol,Borges,Carol Borges,32832,Acre (AC),68,957140334,83812243461</t>
  </si>
  <si>
    <t>Thaina,Junqueira,Thaina Junqueira,33436,Rondônia (RO),69,939553888,27282006190</t>
  </si>
  <si>
    <t>Carlos,Pereira,Carlos Pereira,33974,Tocantins (TO),63,936314214,85579293636</t>
  </si>
  <si>
    <t>Lucca,Sant'Anna,Lucca Sant'Anna,32519,Distrito Federal (DF),61,918073313,3456261802</t>
  </si>
  <si>
    <t>Davi,Coimbra,Davi Coimbra,32452,Sergipe (SE),79,950791525,8386797422</t>
  </si>
  <si>
    <t>Giovani,Ventura,Giovani Ventura,31574,Mato Grosso (MT),65,968645864,21247947870</t>
  </si>
  <si>
    <t>Victoria,Alvarenga,Victoria Alvarenga,32309,Rio de Janeiro (RJ),21,992528563,17964199790</t>
  </si>
  <si>
    <t>Alex,Paes,Alex Paes,33761,Mato Grosso do Sul (MS),84,964240934,95962657795</t>
  </si>
  <si>
    <t>Jennifer,Riany,Jennifer Riany,33554,Goiás (GO),62,912597907,46377950388</t>
  </si>
  <si>
    <t>Ariel,Silva,Ariel Silva,32499,Espírito Santo (ES),27,945142370,5524044696</t>
  </si>
  <si>
    <t>Lucca,Sant'Anna,Lucca Sant'Anna,33845,Rio de Janeiro (RJ),21,967953116,21780838524</t>
  </si>
  <si>
    <t>Douglas,Lessa,Douglas Lessa,31679,Bahia (BA),71,900776649,99172524790</t>
  </si>
  <si>
    <t>Priscila,Coelli,Priscila Coelli,31945,Acre (AC),68,997312948,67298700939</t>
  </si>
  <si>
    <t>Christine,Rodrigues,Christine Rodrigues,33935,Goiás (GO),62,972802450,4489296792</t>
  </si>
  <si>
    <t>Thales,Batista,Thales Batista,32066,Bahia (BA),71,924132250,45726133949</t>
  </si>
  <si>
    <t>Paula,César,Paula César,31180,Piauí (PI),86,946205619,15022180120</t>
  </si>
  <si>
    <t>Carolina,Yehudah,Carolina Yehudah,33391,Piauí (PI),86,953960531,91716993795</t>
  </si>
  <si>
    <t>Sarah,Gerhad,Sarah Gerhad,33249,São Paulo (SP),11,982750503,78175428459</t>
  </si>
  <si>
    <t>Camila,Morgado,Camila Morgado,32311,Rio de Janeiro (RJ),21,970591068,5341521674</t>
  </si>
  <si>
    <t>Isabelly,Rocha,Isabelly Rocha,33670,Tocantins (TO),63,980791007,33751823157</t>
  </si>
  <si>
    <t>Leticia,Said,Leticia Said,32322,Mato Grosso do Sul (MS),84,926247364,38272050816</t>
  </si>
  <si>
    <t>Célio,Sergio,Célio Sergio,33654,Rio Grande do Sul (RS),51,992365236,92672699960</t>
  </si>
  <si>
    <t>Walter,Ferrer,Walter Ferrer,31830,Pernambuco (PE),81,904178455,78292383060</t>
  </si>
  <si>
    <t>Arnôr,Tiradentes,Arnôr Tiradentes,31697,Minas Gerais (MG),31,988195584,79919866679</t>
  </si>
  <si>
    <t>Raianne,Vanzo,Raianne Vanzo,34163,Espírito Santo (ES),27,978983029,95046997139</t>
  </si>
  <si>
    <t>David,Ontiveros,David Ontiveros,33507,Paraná (PR),41,901508142,15524452108</t>
  </si>
  <si>
    <t>Jonathas,Carreira,Jonathas Carreira,31586,Rio Grande do Sul (RS),51,982071740,73134750218</t>
  </si>
  <si>
    <t>Juliane,Bernardo,Juliane Bernardo,31716,Piauí (PI),86,934598095,24777302805</t>
  </si>
  <si>
    <t>Thomáz,Barcelos,Thomáz Barcelos,33889,Ceará (CE),88,953579882,97380312152</t>
  </si>
  <si>
    <t>Ivan,Zickwolf,Ivan Zickwolf,33610,Roraima (RR),95,908191592,28496776692</t>
  </si>
  <si>
    <t>Dilson,Brandão,Dilson Brandão,33921,Minas Gerais (MG),31,978565995,35223928856</t>
  </si>
  <si>
    <t>Katarine,Penedo,Katarine Penedo,33968,Minas Gerais (MG),31,994015158,10807470329</t>
  </si>
  <si>
    <t>Karollayne,Lopes,Karollayne Lopes,33918,Distrito Federal (DF),61,964018016,69529302274</t>
  </si>
  <si>
    <t>Valentina,Chein,Valentina Chein,31599,Goiás (GO),62,921433128,30118110340</t>
  </si>
  <si>
    <t>Rômulo,Kirk,Rômulo Kirk,31725,Minas Gerais (MG),31,953568684,30926746072</t>
  </si>
  <si>
    <t>Platini,Sara,Platini Sara,31109,Santa Catarina (SC),48,926054957,7261054804</t>
  </si>
  <si>
    <t>Mariane,Bezerra,Mariane Bezerra,32311,Pará (PA),91,941141804,35413791792</t>
  </si>
  <si>
    <t>Vito,Ronfini,Vito Ronfini,31847,Paraíba (PB),83,992172162,99855448812</t>
  </si>
  <si>
    <t>Sandy,Garambone,Sandy Garambone,34056,Amapá (AP),96,971047456,56115520284</t>
  </si>
  <si>
    <t>Giuseppe,Monte,Giuseppe Monte,33387,Piauí (PI),86,964131816,92618562812</t>
  </si>
  <si>
    <t>Tainah,Jalles,Tainah Jalles,34171,Bahia (BA),71,970509931,97118576247</t>
  </si>
  <si>
    <t>Jonas,Lucas,Jonas Lucas,32038,Paraíba (PB),83,914639987,40666371769</t>
  </si>
  <si>
    <t>Jéssica,Campos,Jéssica Campos,33024,Paraíba (PB),83,944225565,89532164965</t>
  </si>
  <si>
    <t>Geani,Francisco,Geani Francisco,33581,Bahia (BA),71,982708920,26430782799</t>
  </si>
  <si>
    <t>Yuri,Henriques,Yuri Henriques,31690,Espírito Santo (ES),27,902496706,51932851207</t>
  </si>
  <si>
    <t>Flávia,Moss,Flávia Moss,33983,Rio Grande do Sul (RS),51,967212271,89377935142</t>
  </si>
  <si>
    <t>Nicole,Velucci,Nicole Velucci,33417,Rio Grande do Sul (RS),51,967000469,99192958980</t>
  </si>
  <si>
    <t>Raffael,Hippertt,Raffael Hippertt,31116,Santa Catarina (SC),48,939261094,58205329653</t>
  </si>
  <si>
    <t>Murilo,Jose,Murilo Jose,31258,Piauí (PI),86,920235720,10849669777</t>
  </si>
  <si>
    <t>Micaele,Carneiro,Micaele Carneiro,32039,Rio Grande do Norte (RN),84,938903501,22269325470</t>
  </si>
  <si>
    <t>Mariane,Bezerra,Mariane Bezerra,32826,Amazonas (AM),92,919898094,63583706269</t>
  </si>
  <si>
    <t>Lucas,Franciele,Lucas Franciele,32205,Rio de Janeiro (RJ),21,921247405,1898055963</t>
  </si>
  <si>
    <t>Thomas,Campelo,Thomas Campelo,32690,Maranhão (MA),98,998535664,42762412412</t>
  </si>
  <si>
    <t>Dayane,Yang,Dayane Yang,32916,Espírito Santo (ES),27,920048906,82510893121</t>
  </si>
  <si>
    <t>Alfredo,Bandeira,Alfredo Bandeira,31125,Minas Gerais (MG),31,917526358,22781574660</t>
  </si>
  <si>
    <t>Francyne,Fonseca,Francyne Fonseca,31820,Paraná (PR),41,940579971,10564506811</t>
  </si>
  <si>
    <t>Rayane,Zidan,Rayane Zidan,32886,Espírito Santo (ES),27,912973999,80849923395</t>
  </si>
  <si>
    <t>Tatiane,Rosolia,Tatiane Rosolia,34238,Rio Grande do Sul (RS),51,916482184,50001619379</t>
  </si>
  <si>
    <t>Wendel,Tribuzy,Wendel Tribuzy,34333,Paraíba (PB),83,901115305,16407155628</t>
  </si>
  <si>
    <t>Izabella,Messias,Izabella Messias,31612,Alagoas (AL),82,957226165,50736666277</t>
  </si>
  <si>
    <t>Adriane,Amaral,Adriane Amaral,34119,Paraná (PR),41,955952251,27302533426</t>
  </si>
  <si>
    <t>Raíza,Azevedo,Raíza Azevedo,31275,Amapá (AP),96,955205945,26520367160</t>
  </si>
  <si>
    <t>Raissa,Menaged,Raissa Menaged,31694,Ceará (CE),88,938501588,79250482831</t>
  </si>
  <si>
    <t>jucelia,Iris,jucelia Iris,32122,Rio de Janeiro (RJ),21,994720607,32456816142</t>
  </si>
  <si>
    <t>Stephanie,Bello,Stephanie Bello,32225,Sergipe (SE),79,973663033,26482269386</t>
  </si>
  <si>
    <t>Daniele,Bogossian,Daniele Bogossian,31376,Distrito Federal (DF),61,926150845,82639879356</t>
  </si>
  <si>
    <t>Rebeca,Vinicius,Rebeca Vinicius,33433,Mato Grosso do Sul (MS),84,956925079,90760132355</t>
  </si>
  <si>
    <t>Yasmine,Rubinstein,Yasmine Rubinstein,34062,Santa Catarina (SC),48,973704345,31794655272</t>
  </si>
  <si>
    <t>Izabella,Messias,Izabella Messias,31074,Goiás (GO),62,932968224,75881842816</t>
  </si>
  <si>
    <t>Luize,Neviani,Luize Neviani,32409,Minas Gerais (MG),31,903564221,35492265274</t>
  </si>
  <si>
    <t>Rubyson,Veríssimo,Rubyson Veríssimo,34225,Rondônia (RO),69,980050540,88246033593</t>
  </si>
  <si>
    <t>Leila,Gabriel,Leila Gabriel,33590,Distrito Federal (DF),61,987160011,1929004583</t>
  </si>
  <si>
    <t>Helga,Zambrotti,Helga Zambrotti,34295,Maranhão (MA),98,919473072,16670961932</t>
  </si>
  <si>
    <t>Caroline,Marques,Caroline Marques,31749,Rio Grande do Sul (RS),51,956381072,77764654398</t>
  </si>
  <si>
    <t>Fellipe,Almeida,Fellipe Almeida,31692,São Paulo (SP),11,984429417,4189691324</t>
  </si>
  <si>
    <t>Thales,Batista,Thales Batista,32424,São Paulo (SP),11,933077436,96850477513</t>
  </si>
  <si>
    <t>Thomas,Campelo,Thomas Campelo,33587,Amapá (AP),96,919103564,4207502363</t>
  </si>
  <si>
    <t>Alice,Tassara,Alice Tassara,32558,Tocantins (TO),63,921693022,48151935239</t>
  </si>
  <si>
    <t>Fernanda,Aballo,Fernanda Aballo,32539,Alagoas (AL),82,924557135,52328711226</t>
  </si>
  <si>
    <t>Leandro,Fontenelle,Leandro Fontenelle,33169,São Paulo (SP),11,920436375,59566783993</t>
  </si>
  <si>
    <t>Jennifer,Riany,Jennifer Riany,32869,Acre (AC),68,925112688,78320018091</t>
  </si>
  <si>
    <t>Luísa,Heleno,Luísa Heleno,32225,Rio Grande do Sul (RS),51,995649452,62803386278</t>
  </si>
  <si>
    <t>Saranna,Brasil,Saranna Brasil,33621,Tocantins (TO),63,932009944,52092273149</t>
  </si>
  <si>
    <t>Graziela,Marcio,Graziela Marcio,32712,Minas Gerais (MG),31,963707016,18530395023</t>
  </si>
  <si>
    <t>Viviane,Titonelli,Viviane Titonelli,33271,Rio Grande do Norte (RN),84,973112005,77381782930</t>
  </si>
  <si>
    <t>Kimberly,Fontes,Kimberly Fontes,33044,Sergipe (SE),79,910861318,50618083653</t>
  </si>
  <si>
    <t>Giovani,Ventura,Giovani Ventura,31178,Ceará (CE),88,907256884,71264512516</t>
  </si>
  <si>
    <t>Filipe,Ribeiro,Filipe Ribeiro,34034,Rio Grande do Norte (RN),84,979330623,24437627456</t>
  </si>
  <si>
    <t>Murillo,Spata,Murillo Spata,34245,Rio Grande do Sul (RS),51,943168361,48973853058</t>
  </si>
  <si>
    <t>Raissa,Menaged,Raissa Menaged,32699,Roraima (RR),95,961670884,35580866443</t>
  </si>
  <si>
    <t>Luíza,Alvarez,Luíza Alvarez,33919,Rio Grande do Sul (RS),51,945041139,97571234006</t>
  </si>
  <si>
    <t>Cynthia,Tostes,Cynthia Tostes,33985,Roraima (RR),95,933041683,91256777486</t>
  </si>
  <si>
    <t>Patrick,Mainente,Patrick Mainente,33936,Tocantins (TO),63,925513049,16831921177</t>
  </si>
  <si>
    <t>Daniel,Salomao,Daniel Salomao,33226,São Paulo (SP),11,965319575,4259438305</t>
  </si>
  <si>
    <t>Platini,Sara,Platini Sara,32727,Paraíba (PB),83,975790248,33848138697</t>
  </si>
  <si>
    <t>Alfredo,Bandeira,Alfredo Bandeira,31244,Bahia (BA),71,971099097,25033756794</t>
  </si>
  <si>
    <t>Yasser,Tsuyoshi,Yasser Tsuyoshi,34128,Ceará (CE),88,977057478,26458338079</t>
  </si>
  <si>
    <t>Mauricio,Mendes,Mauricio Mendes,33600,Pernambuco (PE),81,956666710,45675244837</t>
  </si>
  <si>
    <t>Jessica,Flávia,Jessica Flávia,31317,Rio Grande do Sul (RS),51,930001912,53376953095</t>
  </si>
  <si>
    <t>Brenno,Pisani,Brenno Pisani,34143,Amapá (AP),96,938639046,23932818127</t>
  </si>
  <si>
    <t>Antonia,Navega,Antonia Navega,34025,Rio de Janeiro (RJ),21,945189321,77313467810</t>
  </si>
  <si>
    <t>Saranna,Brasil,Saranna Brasil,33102,Espírito Santo (ES),27,955956907,21754064730</t>
  </si>
  <si>
    <t>Leon,Bento,Leon Bento,33206,Piauí (PI),86,924568952,14598284972</t>
  </si>
  <si>
    <t>Marcella,Corrêa,Marcella Corrêa,33983,Paraíba (PB),83,909119929,68747332685</t>
  </si>
  <si>
    <t>Raiane,Gitirana,Raiane Gitirana,31181,Maranhão (MA),98,978370467,18235672645</t>
  </si>
  <si>
    <t>Luiza,Andréa,Luiza Andréa,32513,Rondônia (RO),69,920305216,39080269052</t>
  </si>
  <si>
    <t>Gabriella,Ione,Gabriella Ione,33522,Rio Grande do Sul (RS),51,951420879,40807706068</t>
  </si>
  <si>
    <t>Luana,Benvinda,Luana Benvinda,31170,Rio Grande do Norte (RN),84,966857673,77342985626</t>
  </si>
  <si>
    <t>Zilma,Cassabian,Zilma Cassabian,33662,Minas Gerais (MG),31,935978996,34864222690</t>
  </si>
  <si>
    <t>Jonnathan,Dalforne,Jonnathan Dalforne,34130,Ceará (CE),88,998768427,31436219922</t>
  </si>
  <si>
    <t>Marianne,Pires,Marianne Pires,33097,Rio de Janeiro (RJ),21,979668511,57926746699</t>
  </si>
  <si>
    <t>Etiene,Barreira,Etiene Barreira,31558,Distrito Federal (DF),61,907190453,85191487582</t>
  </si>
  <si>
    <t>Jorge,Rossi,Jorge Rossi,32934,São Paulo (SP),11,933634484,89226240741</t>
  </si>
  <si>
    <t>Igor,Caldas,Igor Caldas,34216,Alagoas (AL),82,904136033,56746497243</t>
  </si>
  <si>
    <t>Micaele,Carneiro,Micaele Carneiro,32776,Alagoas (AL),82,956242280,42391355634</t>
  </si>
  <si>
    <t>Luana,Benvinda,Luana Benvinda,33113,Rio Grande do Norte (RN),84,953773918,9471009343</t>
  </si>
  <si>
    <t>Izabel,Fogacia,Izabel Fogacia,32445,Amazonas (AM),92,984532540,25816046161</t>
  </si>
  <si>
    <t>Josefe,Madruga,Josefe Madruga,31663,Santa Catarina (SC),48,903769646,78191295829</t>
  </si>
  <si>
    <t>Patricia,Limeira,Patricia Limeira,31532,Paraná (PR),41,974889988,53387503926</t>
  </si>
  <si>
    <t>Jeronimo,Francisca,Jeronimo Francisca,31216,Rio Grande do Norte (RN),84,978906130,71647704978</t>
  </si>
  <si>
    <t>Anna,Rey,Anna Rey,33585,Acre (AC),68,913683551,84289355037</t>
  </si>
  <si>
    <t>Cassia,Senderowicz,Cassia Senderowicz,33040,Minas Gerais (MG),31,989657902,60660009417</t>
  </si>
  <si>
    <t>Gabryela,Nuñez,Gabryela Nuñez,31830,Maranhão (MA),98,927049917,21592726953</t>
  </si>
  <si>
    <t>Walmyr,Alvim,Walmyr Alvim,32571,Roraima (RR),95,986659847,58580720004</t>
  </si>
  <si>
    <t>Ana,Carmo,Ana Carmo,31830,Tocantins (TO),63,930532469,18818684178</t>
  </si>
  <si>
    <t>Raísa,Naveiro,Raísa Naveiro,31294,Rondônia (RO),69,998171362,32573245751</t>
  </si>
  <si>
    <t>Adriano,Machado,Adriano Machado,32593,Roraima (RR),95,920901526,88851835562</t>
  </si>
  <si>
    <t>Isabelle,Baldanzi,Isabelle Baldanzi,31409,Alagoas (AL),82,950893772,62100702037</t>
  </si>
  <si>
    <t>Izabella,Messias,Izabella Messias,32625,São Paulo (SP),11,980752082,90548386529</t>
  </si>
  <si>
    <t>Isabela,Cassia,Isabela Cassia,33250,Rondônia (RO),69,931163172,69641553891</t>
  </si>
  <si>
    <t>Camille,Felippe,Camille Felippe,31491,Paraíba (PB),83,956758045,9339211041</t>
  </si>
  <si>
    <t>Isabelle,Baldanzi,Isabelle Baldanzi,31313,Mato Grosso do Sul (MS),84,901483597,78294654839</t>
  </si>
  <si>
    <t>Vitoria,Villar,Vitoria Villar,33195,Paraná (PR),41,991264661,28455161320</t>
  </si>
  <si>
    <t>Maciela,Freixo,Maciela Freixo,34205,Bahia (BA),71,904920180,16465805741</t>
  </si>
  <si>
    <t>Cassandra,Beatriz,Cassandra Beatriz,31178,Espírito Santo (ES),27,963393112,91909436939</t>
  </si>
  <si>
    <t>Marisol,Monteiro,Marisol Monteiro,32461,Pernambuco (PE),81,914314191,20212673647</t>
  </si>
  <si>
    <t>Raianne,Vanzo,Raianne Vanzo,33237,Amazonas (AM),92,963923646,10173502185</t>
  </si>
  <si>
    <t>Raquel,Moura,Raquel Moura,31938,Distrito Federal (DF),61,913538297,8160951185</t>
  </si>
  <si>
    <t>Rodney,Bernhardt,Rodney Bernhardt,34015,São Paulo (SP),11,913806644,13063919815</t>
  </si>
  <si>
    <t>Andreia,Pinto,Andreia Pinto,33526,São Paulo (SP),11,921698714,37478261727</t>
  </si>
  <si>
    <t>Cynthia,Tostes,Cynthia Tostes,33682,Amapá (AP),96,951588217,21691731875</t>
  </si>
  <si>
    <t>Thárcila,Cravo,Thárcila Cravo,32761,Pará (PA),91,910760220,50690610709</t>
  </si>
  <si>
    <t>Érico,Degasperi,Érico Degasperi,31668,Bahia (BA),71,934363105,91216871812</t>
  </si>
  <si>
    <t>Gisely,Fagundes,Gisely Fagundes,33375,Rondônia (RO),69,960998678,84264762494</t>
  </si>
  <si>
    <t>Yasmine,Rubinstein,Yasmine Rubinstein,31732,Santa Catarina (SC),48,931260543,81659037412</t>
  </si>
  <si>
    <t>Liz,Rubio,Liz Rubio,32778,Paraíba (PB),83,927155246,98729121401</t>
  </si>
  <si>
    <t>Cassio,Ricardo,Cassio Ricardo,31184,Amapá (AP),96,944160590,70358353620</t>
  </si>
  <si>
    <t>Katarine,Penedo,Katarine Penedo,31409,Roraima (RR),95,967131081,55657070266</t>
  </si>
  <si>
    <t>Rebeca,Vinicius,Rebeca Vinicius,34017,Rio Grande do Sul (RS),51,904094711,10376966742</t>
  </si>
  <si>
    <t>Hiago,Chagas,Hiago Chagas,32599,Paraná (PR),41,990819124,94216846486</t>
  </si>
  <si>
    <t>Kim,Luisa,Kim Luisa,33963,Paraíba (PB),83,908004157,65991737425</t>
  </si>
  <si>
    <t>Marianna,Fróes,Marianna Fróes,31756,Maranhão (MA),98,969473310,77719914638</t>
  </si>
  <si>
    <t>César,Dourado,César Dourado,33909,Roraima (RR),95,962361232,46635055321</t>
  </si>
  <si>
    <t>Platini,Sara,Platini Sara,33556,Amapá (AP),96,982757009,32661600064</t>
  </si>
  <si>
    <t>Ana,Carmo,Ana Carmo,32403,Goiás (GO),62,964427373,68678214373</t>
  </si>
  <si>
    <t>Ludmila,Guimarães,Ludmila Guimarães,33935,Santa Catarina (SC),48,987889067,91567711521</t>
  </si>
  <si>
    <t>Arnaldo,Barreto,Arnaldo Barreto,33145,Mato Grosso do Sul (MS),84,935124835,8607429019</t>
  </si>
  <si>
    <t>Nicholas,Caffaro,Nicholas Caffaro,33751,Pernambuco (PE),81,956894819,46193402228</t>
  </si>
  <si>
    <t>Luisa,Zacharias,Luisa Zacharias,31211,Ceará (CE),88,907773601,37225781517</t>
  </si>
  <si>
    <t>Rodrigo,Piccinini,Rodrigo Piccinini,31685,Rio Grande do Norte (RN),84,925448060,81997326448</t>
  </si>
  <si>
    <t>Tainara,Maués,Tainara Maués,31454,Roraima (RR),95,963815781,77826972383</t>
  </si>
  <si>
    <t>Suelen,Accardo,Suelen Accardo,33105,Pernambuco (PE),81,906683272,87726513623</t>
  </si>
  <si>
    <t>Francyne,Fonseca,Francyne Fonseca,32317,Pernambuco (PE),81,995236738,38113119793</t>
  </si>
  <si>
    <t>Érico,Degasperi,Érico Degasperi,32044,Tocantins (TO),63,943168850,72119886477</t>
  </si>
  <si>
    <t>Jo?o,Ghiorzi,Jo?o Ghiorzi,33881,Ceará (CE),88,953567847,65504913306</t>
  </si>
  <si>
    <t>Marianne,Pires,Marianne Pires,33707,Amapá (AP),96,987084604,24929501498</t>
  </si>
  <si>
    <t>Giuseppe,Monte,Giuseppe Monte,32413,São Paulo (SP),11,912796423,78299877578</t>
  </si>
  <si>
    <t>Vitor,Blumgrund,Vitor Blumgrund,33194,Espírito Santo (ES),27,930003436,31641227894</t>
  </si>
  <si>
    <t>Rebecca,Couto,Rebecca Couto,31734,Sergipe (SE),79,986186548,89699230779</t>
  </si>
  <si>
    <t>Nicolas,Ban,Nicolas Ban,33000,Santa Catarina (SC),48,957595066,67347476462</t>
  </si>
  <si>
    <t>Rubyson,Veríssimo,Rubyson Veríssimo,33380,Espírito Santo (ES),27,996687234,50634193050</t>
  </si>
  <si>
    <t>Monique,Duarte,Monique Duarte,31661,Espírito Santo (ES),27,989593740,22808550308</t>
  </si>
  <si>
    <t>Yuske,Rosales,Yuske Rosales,33970,Pará (PA),91,902301826,85914686646</t>
  </si>
  <si>
    <t>Rafaela,Pinheiro,Rafaela Pinheiro,32463,Sergipe (SE),79,967407417,64768800012</t>
  </si>
  <si>
    <t>Karen,Rabelo,Karen Rabelo,31950,Rio Grande do Sul (RS),51,969327065,74188126097</t>
  </si>
  <si>
    <t>Lucca,Sant'Anna,Lucca Sant'Anna,33526,Paraíba (PB),83,964061698,29171054310</t>
  </si>
  <si>
    <t>Thales,Batista,Thales Batista,33457,Amapá (AP),96,972482772,69851102055</t>
  </si>
  <si>
    <t>Allan,Vitor,Allan Vitor,34241,Rio Grande do Norte (RN),84,933103001,10288362218</t>
  </si>
  <si>
    <t>Thaiz,Reyna,Thaiz Reyna,31971,Santa Catarina (SC),48,995270109,73551032618</t>
  </si>
  <si>
    <t>Lígia,Luiza,Lígia Luiza,31708,Maranhão (MA),98,942278597,8473269588</t>
  </si>
  <si>
    <t>Giovanna,Alledi,Giovanna Alledi,33090,Pernambuco (PE),81,932510219,60949410570</t>
  </si>
  <si>
    <t>Flavio,Luz,Flavio Luz,33240,Tocantins (TO),63,981219111,17259082881</t>
  </si>
  <si>
    <t>Leila,Gabriel,Leila Gabriel,31525,Tocantins (TO),63,990195957,76057395864</t>
  </si>
  <si>
    <t>Lázaro,Falcão,Lázaro Falcão,33582,Minas Gerais (MG),31,968419605,7322049958</t>
  </si>
  <si>
    <t>Adrielle,Carrera,Adrielle Carrera,32785,Alagoas (AL),82,990712474,16939021300</t>
  </si>
  <si>
    <t>Agnes,Cabral,Agnes Cabral,33656,Minas Gerais (MG),31,912674970,56205279600</t>
  </si>
  <si>
    <t>Arnôr,Tiradentes,Arnôr Tiradentes,32309,Rio Grande do Sul (RS),51,918259573,22542074244</t>
  </si>
  <si>
    <t>Gleydson,Godinho,Gleydson Godinho,33203,Acre (AC),68,903874222,97638246452</t>
  </si>
  <si>
    <t>Angelo,Maria,Angelo Maria,33370,Alagoas (AL),82,917406636,19018305916</t>
  </si>
  <si>
    <t>Yasser,Tsuyoshi,Yasser Tsuyoshi,34216,Paraíba (PB),83,988820744,2643936222</t>
  </si>
  <si>
    <t>Nathália,Bailly,Nathália Bailly,32556,Goiás (GO),62,957045201,95709913650</t>
  </si>
  <si>
    <t>Ariel,Silva,Ariel Silva,32573,Roraima (RR),95,911820799,62920639301</t>
  </si>
  <si>
    <t>Kassia,Linhares,Kassia Linhares,33786,Roraima (RR),95,950970153,47143873321</t>
  </si>
  <si>
    <t>Fabricio,longo,Fabricio longo,31773,Pará (PA),91,946957560,67558678887</t>
  </si>
  <si>
    <t>Roger,Fuchs,Roger Fuchs,31160,Rio Grande do Norte (RN),84,915888330,16197485776</t>
  </si>
  <si>
    <t>Fabricio,longo,Fabricio longo,32512,Pará (PA),91,965156173,70774080275</t>
  </si>
  <si>
    <t>Marcella,Corrêa,Marcella Corrêa,34321,Piauí (PI),86,901781999,85902232811</t>
  </si>
  <si>
    <t>Mauricio,Mendes,Mauricio Mendes,31466,Maranhão (MA),98,911980482,77662868530</t>
  </si>
  <si>
    <t>Giovanni,Furtado,Giovanni Furtado,31635,Sergipe (SE),79,987137634,29522257923</t>
  </si>
  <si>
    <t>Adelino,Albano,Adelino Albano,32675,Pará (PA),91,949417585,86402476985</t>
  </si>
  <si>
    <t>Alexandra,de,Alexandra de,32500,Paraíba (PB),83,961484884,6985966151</t>
  </si>
  <si>
    <t>Isabela,Cassia,Isabela Cassia,31677,Espírito Santo (ES),27,992850681,46601930566</t>
  </si>
  <si>
    <t>Bernardo,Santos,Bernardo Santos,32183,Rio Grande do Norte (RN),84,977159328,87663326637</t>
  </si>
  <si>
    <t>Júlia,Júnior,Júlia Júnior,33530,Santa Catarina (SC),48,943483936,76972972588</t>
  </si>
  <si>
    <t>Luís,Infante,Luís Infante,34098,Maranhão (MA),98,916835570,52859832376</t>
  </si>
  <si>
    <t>Liara,Cavalcante,Liara Cavalcante,32943,Amazonas (AM),92,940366260,16903586864</t>
  </si>
  <si>
    <t>Thayna,Gracio,Thayna Gracio,33857,Minas Gerais (MG),31,905825645,8054829445</t>
  </si>
  <si>
    <t>Karollayne,Lopes,Karollayne Lopes,33657,Rio Grande do Norte (RN),84,962274962,49589024605</t>
  </si>
  <si>
    <t>Etiene,Barreira,Etiene Barreira,32799,Pará (PA),91,917255052,1660679139</t>
  </si>
  <si>
    <t>Paola,Kalaf,Paola Kalaf,33033,Goiás (GO),62,905520361,23248816198</t>
  </si>
  <si>
    <t>Walmyr,Alvim,Walmyr Alvim,33073,Rondônia (RO),69,977639944,2025281212</t>
  </si>
  <si>
    <t>Gabryela,Nuñez,Gabryela Nuñez,33426,Ceará (CE),88,937720294,39454308034</t>
  </si>
  <si>
    <t>Giovanna,Alledi,Giovanna Alledi,32768,Rio de Janeiro (RJ),21,946062508,8108130953</t>
  </si>
  <si>
    <t>Alexsandro,Andrade,Alexsandro Andrade,32860,Santa Catarina (SC),48,912889668,64376640191</t>
  </si>
  <si>
    <t>Andressa,Ramos,Andressa Ramos,32811,Acre (AC),68,918323144,85465758913</t>
  </si>
  <si>
    <t>Viviane,Titonelli,Viviane Titonelli,32381,Santa Catarina (SC),48,913736191,44573595048</t>
  </si>
  <si>
    <t>Natália,Yosef,Natália Yosef,33364,Amazonas (AM),92,931065660,46960205107</t>
  </si>
  <si>
    <t>Murillo,Spata,Murillo Spata,32372,Espírito Santo (ES),27,995138089,59755148338</t>
  </si>
  <si>
    <t>Emilaine,Serra,Emilaine Serra,32862,Distrito Federal (DF),61,956199988,92280351398</t>
  </si>
  <si>
    <t>Angelo,Maria,Angelo Maria,32562,Amapá (AP),96,917562658,71192212263</t>
  </si>
  <si>
    <t>Thayná,Balassiano,Thayná Balassiano,31561,Tocantins (TO),63,939784930,44114487679</t>
  </si>
  <si>
    <t>Alexandra,de,Alexandra de,34247,Minas Gerais (MG),31,967168353,92398591857</t>
  </si>
  <si>
    <t>Yuske,Rosales,Yuske Rosales,32790,Tocantins (TO),63,969362140,27292419938</t>
  </si>
  <si>
    <t>Rodney,Bernhardt,Rodney Bernhardt,31218,Bahia (BA),71,957116578,30009804345</t>
  </si>
  <si>
    <t>Tiago,Brendalina,Tiago Brendalina,33292,Mato Grosso (MT),65,917204704,36942233300</t>
  </si>
  <si>
    <t>Yasmine,Rubinstein,Yasmine Rubinstein,33824,Sergipe (SE),79,943576228,83184986609</t>
  </si>
  <si>
    <t>Mirian,Mollica,Mirian Mollica,33870,Bahia (BA),71,958414027,3752578775</t>
  </si>
  <si>
    <t>Adriano,Machado,Adriano Machado,33791,Maranhão (MA),98,957236573,23490915080</t>
  </si>
  <si>
    <t>Katherine,Sone,Katherine Sone,32173,Rio Grande do Sul (RS),51,984071989,79872518510</t>
  </si>
  <si>
    <t>Rilson,Miehrig,Rilson Miehrig,33529,São Paulo (SP),11,977191883,12840580198</t>
  </si>
  <si>
    <t>Maurício,Emmerick,Maurício Emmerick,32474,São Paulo (SP),11,986344556,85791007385</t>
  </si>
  <si>
    <t>Alfredo,Bandeira,Alfredo Bandeira,33557,Rio Grande do Sul (RS),51,961352341,28378775111</t>
  </si>
  <si>
    <t>Bárbara,Braga,Bárbara Braga,33573,Ceará (CE),88,931115254,35535081380</t>
  </si>
  <si>
    <t>Hiago,Chagas,Hiago Chagas,34155,Paraíba (PB),83,936253198,98819181317</t>
  </si>
  <si>
    <t>Alessandra,Greici,Alessandra Greici,32915,Rio Grande do Sul (RS),51,922387413,24661657850</t>
  </si>
  <si>
    <t>Thaina,Junqueira,Thaina Junqueira,32523,Paraná (PR),41,962745086,99111523557</t>
  </si>
  <si>
    <t>Yohanan,Barrionuevo,Yohanan Barrionuevo,34152,Amapá (AP),96,996179487,5011632021</t>
  </si>
  <si>
    <t>Laís,Ivo,Laís Ivo,31374,Acre (AC),68,985395102,56911032197</t>
  </si>
  <si>
    <t>Lunna,Latgé,Lunna Latgé,33522,São Paulo (SP),11,951171980,59298461681</t>
  </si>
  <si>
    <t>Dilson,Brandão,Dilson Brandão,31487,Distrito Federal (DF),61,961706363,60390057519</t>
  </si>
  <si>
    <t>Thiago,Scalercio,Thiago Scalercio,33620,Distrito Federal (DF),61,991942541,86349281982</t>
  </si>
  <si>
    <t>Taila,Li,Taila Li,32229,Goiás (GO),62,956157173,94048048583</t>
  </si>
  <si>
    <t>Isis,Silvestre,Isis Silvestre,33875,Rondônia (RO),69,946617806,459531542</t>
  </si>
  <si>
    <t>Melissa,Franca,Melissa Franca,31212,Mato Grosso do Sul (MS),84,961570663,70215809538</t>
  </si>
  <si>
    <t>Jade,Florêncio,Jade Florêncio,32383,Alagoas (AL),82,996256479,35444706442</t>
  </si>
  <si>
    <t>Joel,Amorim,Joel Amorim,32546,Tocantins (TO),63,948440644,64917162173</t>
  </si>
  <si>
    <t>Ângelo,Destri,Ângelo Destri,32628,Mato Grosso (MT),65,914682045,37679050566</t>
  </si>
  <si>
    <t>Julliana,Carvalhal,Julliana Carvalhal,31052,Alagoas (AL),82,976000683,65909783223</t>
  </si>
  <si>
    <t>Cláudia,Orind,Cláudia Orind,32373,Rio Grande do Norte (RN),84,963414354,51139327147</t>
  </si>
  <si>
    <t>Átila,Cromwell,Átila Cromwell,33942,Sergipe (SE),79,973559532,51181846467</t>
  </si>
  <si>
    <t>Cesar,Nunes,Cesar Nunes,32866,Acre (AC),68,998333601,84888402402</t>
  </si>
  <si>
    <t>Fabricio,longo,Fabricio longo,31075,Acre (AC),68,959806678,76545590744</t>
  </si>
  <si>
    <t>Eriko,Erthal,Eriko Erthal,33226,Acre (AC),68,968218064,58836320265</t>
  </si>
  <si>
    <t>Jayme,Figueiredo,Jayme Figueiredo,33795,Pernambuco (PE),81,970540779,17378666367</t>
  </si>
  <si>
    <t>Juan,Rubin,Juan Rubin,32920,Pará (PA),91,926660841,9881196002</t>
  </si>
  <si>
    <t>Enrique,Paiva,Enrique Paiva,32168,Roraima (RR),95,912188048,66815653122</t>
  </si>
  <si>
    <t>Sylvia,Rottas,Sylvia Rottas,31840,Minas Gerais (MG),31,983540528,75968857122</t>
  </si>
  <si>
    <t>Luisa,Zacharias,Luisa Zacharias,31112,Tocantins (TO),63,935207255,2947774421</t>
  </si>
  <si>
    <t>Eduarda,Moulin,Eduarda Moulin,32199,São Paulo (SP),11,919092902,83202804606</t>
  </si>
  <si>
    <t>Raísa,Naveiro,Raísa Naveiro,33493,Mato Grosso do Sul (MS),84,979532228,48064593972</t>
  </si>
  <si>
    <t>Camille,Felippe,Camille Felippe,34171,Paraíba (PB),83,956997949,72631976367</t>
  </si>
  <si>
    <t>Ighor,Maia,Ighor Maia,32334,Sergipe (SE),79,993852258,99070984715</t>
  </si>
  <si>
    <t>Tiago,Brendalina,Tiago Brendalina,32232,Espírito Santo (ES),27,915446562,84284023853</t>
  </si>
  <si>
    <t>Ysabella,Nogueira,Ysabella Nogueira,33064,Paraíba (PB),83,910741764,62924180650</t>
  </si>
  <si>
    <t>Christiana,Berlandez,Christiana Berlandez,33459,Minas Gerais (MG),31,953266249,9512681401</t>
  </si>
  <si>
    <t>Vitória,Gabrielle,Vitória Gabrielle,33880,Mato Grosso do Sul (MS),84,975005677,55086165816</t>
  </si>
  <si>
    <t>Dayna,Cordeiro,Dayna Cordeiro,32874,Acre (AC),68,911873661,97667338938</t>
  </si>
  <si>
    <t>Jose,Vilachã,Jose Vilachã,34244,Distrito Federal (DF),61,965023462,9242919327</t>
  </si>
  <si>
    <t>Neilton,Guedes,Neilton Guedes,33997,Roraima (RR),95,982289549,72437780988</t>
  </si>
  <si>
    <t>Taiza,Luis,Taiza Luis,33448,Ceará (CE),88,982039123,48846998881</t>
  </si>
  <si>
    <t>Luiz,Ambrosio,Luiz Ambrosio,33553,Rondônia (RO),69,974841536,57846167658</t>
  </si>
  <si>
    <t>Raiane,Gitirana,Raiane Gitirana,31776,Goiás (GO),62,930387068,25473993871</t>
  </si>
  <si>
    <t>Karen,Rabelo,Karen Rabelo,32944,Rio Grande do Sul (RS),51,978281143,15279721276</t>
  </si>
  <si>
    <t>Marcus,Taylor,Marcus Taylor,33231,Amapá (AP),96,905840547,50379730423</t>
  </si>
  <si>
    <t>Katherine,Sone,Katherine Sone,31434,São Paulo (SP),11,985932203,59930656550</t>
  </si>
  <si>
    <t>Maurício,Emmerick,Maurício Emmerick,33559,Alagoas (AL),82,915967046,40115670440</t>
  </si>
  <si>
    <t>Priscila,Coelli,Priscila Coelli,33373,Maranhão (MA),98,922710898,80414796762</t>
  </si>
  <si>
    <t>Agnes,Cabral,Agnes Cabral,33577,Tocantins (TO),63,960409658,64843590130</t>
  </si>
  <si>
    <t>Larissa,Fontenele,Larissa Fontenele,33214,Distrito Federal (DF),61,910748930,39906384120</t>
  </si>
  <si>
    <t>Stella,Morais,Stella Morais,34157,Ceará (CE),88,956372991,18946686636</t>
  </si>
  <si>
    <t>Stefan,Netto,Stefan Netto,32249,Amapá (AP),96,971704784,48258498442</t>
  </si>
  <si>
    <t>Leandro,Fontenelle,Leandro Fontenelle,33771,Distrito Federal (DF),61,910665306,78867796453</t>
  </si>
  <si>
    <t>Cleberson,Miranda,Cleberson Miranda,31438,Pará (PA),91,948517146,94947463395</t>
  </si>
  <si>
    <t>Athos,Eid,Athos Eid,33740,Ceará (CE),88,978712710,15274261106</t>
  </si>
  <si>
    <t>Hércules,Luísa,Hércules Luísa,33107,Alagoas (AL),82,983544922,83106120918</t>
  </si>
  <si>
    <t>Diogo,Amor,Diogo Amor,32720,Espírito Santo (ES),27,933680229,50415384680</t>
  </si>
  <si>
    <t>Jessica,Flávia,Jessica Flávia,31543,Mato Grosso do Sul (MS),84,901159646,44003886094</t>
  </si>
  <si>
    <t>Marcele,Chaves,Marcele Chaves,31817,Pará (PA),91,971927045,67420961793</t>
  </si>
  <si>
    <t>Ysabella,Nogueira,Ysabella Nogueira,32339,Goiás (GO),62,945834632,63157699721</t>
  </si>
  <si>
    <t>Alessandra,Greici,Alessandra Greici,33833,Acre (AC),68,961363089,8681876420</t>
  </si>
  <si>
    <t>Teresa,Moutinho,Teresa Moutinho,31957,Rio de Janeiro (RJ),21,994672134,26228847069</t>
  </si>
  <si>
    <t>Debora,Gribel,Debora Gribel,31977,Rio Grande do Norte (RN),84,958078540,18402393316</t>
  </si>
  <si>
    <t>Arthur,Maciel,Arthur Maciel,33280,Mato Grosso (MT),65,901591433,4916420661</t>
  </si>
  <si>
    <t>Cícero,dos,Cícero dos,31411,Paraná (PR),41,924430335,60599908287</t>
  </si>
  <si>
    <t>Norbertho,Goulart,Norbertho Goulart,32563,Acre (AC),68,945763012,92279050847</t>
  </si>
  <si>
    <t>Marjorie,Mathias,Marjorie Mathias,32689,Minas Gerais (MG),31,962264876,80121746240</t>
  </si>
  <si>
    <t>Sarah,Gerhad,Sarah Gerhad,31814,São Paulo (SP),11,903370611,74285523167</t>
  </si>
  <si>
    <t>Livia,Mesquita,Livia Mesquita,33151,Minas Gerais (MG),31,904847690,70613057383</t>
  </si>
  <si>
    <t>Giovanni,Furtado,Giovanni Furtado,33720,Rondônia (RO),69,975451386,60994820480</t>
  </si>
  <si>
    <t>Katarine,Penedo,Katarine Penedo,33914,Goiás (GO),62,912695037,312078965</t>
  </si>
  <si>
    <t>Thayza,Lauzana,Thayza Lauzana,32364,Amapá (AP),96,920416122,42582998169</t>
  </si>
  <si>
    <t>Sara,Abramovitz,Sara Abramovitz,31491,São Paulo (SP),11,962229454,39223619926</t>
  </si>
  <si>
    <t>Marcelly,Cezar,Marcelly Cezar,31184,São Paulo (SP),11,927070238,59960489134</t>
  </si>
  <si>
    <t>Jose,Vilachã,Jose Vilachã,34062,Piauí (PI),86,966475840,15324316144</t>
  </si>
  <si>
    <t>Sandy,Garambone,Sandy Garambone,32568,Acre (AC),68,971939973,57096204591</t>
  </si>
  <si>
    <t>Izadora,Barroso,Izadora Barroso,31418,Bahia (BA),71,901971607,71803019294</t>
  </si>
  <si>
    <t>Jeferson,Dainara,Jeferson Dainara,31332,Rio Grande do Norte (RN),84,950047831,13686375161</t>
  </si>
  <si>
    <t>Andrew,Leão,Andrew Leão,31677,Pará (PA),91,916078723,61425945786</t>
  </si>
  <si>
    <t>Debora,Gribel,Debora Gribel,33017,Espírito Santo (ES),27,959497433,65701611439</t>
  </si>
  <si>
    <t>Giovani,Ventura,Giovani Ventura,32254,Rio de Janeiro (RJ),21,994191356,69151547773</t>
  </si>
  <si>
    <t>Tayane,Cavalca,Tayane Cavalca,33766,São Paulo (SP),11,994293876,80520215226</t>
  </si>
  <si>
    <t>Ludmila,Guimarães,Ludmila Guimarães,32137,Paraíba (PB),83,937884429,5747413662</t>
  </si>
  <si>
    <t>Domenik,Portella,Domenik Portella,32719,Pará (PA),91,997634298,19236854518</t>
  </si>
  <si>
    <t>Stela,Whitaker,Stela Whitaker,31688,Minas Gerais (MG),31,999675508,24589693251</t>
  </si>
  <si>
    <t>Jonnathan,Dalforne,Jonnathan Dalforne,32650,Rio Grande do Sul (RS),51,931601518,36173740844</t>
  </si>
  <si>
    <t>Zilma,Cassabian,Zilma Cassabian,33649,Acre (AC),68,952559888,70301343035</t>
  </si>
  <si>
    <t>Helena,Aya,Helena Aya,31523,Rondônia (RO),69,920347451,22790970417</t>
  </si>
  <si>
    <t>Luana,Benvinda,Luana Benvinda,31637,Amazonas (AM),92,997139352,86081599594</t>
  </si>
  <si>
    <t>Jade,Florêncio,Jade Florêncio,33623,Ceará (CE),88,994344904,14917330550</t>
  </si>
  <si>
    <t>Sara,Abramovitz,Sara Abramovitz,33654,Sergipe (SE),79,909828515,47627135816</t>
  </si>
  <si>
    <t>Ericka,Gallo,Ericka Gallo,31095,Acre (AC),68,990173552,93953464538</t>
  </si>
  <si>
    <t>Thays,Thome,Thays Thome,34190,Ceará (CE),88,978846808,21596486638</t>
  </si>
  <si>
    <t>Karoliny,Yen,Karoliny Yen,31325,Espírito Santo (ES),27,942134117,82401546573</t>
  </si>
  <si>
    <t>Reila,Malher,Reila Malher,31302,Rio Grande do Norte (RN),84,985759228,44923851888</t>
  </si>
  <si>
    <t>Roger,Fuchs,Roger Fuchs,31950,Ceará (CE),88,952098109,43348943986</t>
  </si>
  <si>
    <t>Teresa,Moutinho,Teresa Moutinho,31274,Paraíba (PB),83,956111151,38869251793</t>
  </si>
  <si>
    <t>Andreia,Pinto,Andreia Pinto,32522,Acre (AC),68,924065153,36493193707</t>
  </si>
  <si>
    <t>Viviane,Titonelli,Viviane Titonelli,33208,Goiás (GO),62,926139342,71479434720</t>
  </si>
  <si>
    <t>Marcia,Filgueiras,Marcia Filgueiras,32037,Minas Gerais (MG),31,984711625,41351898598</t>
  </si>
  <si>
    <t>Stephane,Jakobsson,Stephane Jakobsson,31823,Amazonas (AM),92,912218805,41841621114</t>
  </si>
  <si>
    <t>Natali,Sousa,Natali Sousa,31790,Alagoas (AL),82,970408689,53267609248</t>
  </si>
  <si>
    <t>Josefe,Madruga,Josefe Madruga,32219,Paraná (PR),41,926124650,17864281665</t>
  </si>
  <si>
    <t>Gabriella,Ione,Gabriella Ione,33663,Paraná (PR),41,930380898,26679147451</t>
  </si>
  <si>
    <t>Laiza,Ahnert,Laiza Ahnert,33896,Distrito Federal (DF),61,918431950,3996609124</t>
  </si>
  <si>
    <t>Millena,Ribas,Millena Ribas,33786,Paraíba (PB),83,973596811,31944977770</t>
  </si>
  <si>
    <t>Thayane,Menezes,Thayane Menezes,32556,Ceará (CE),88,970313238,40642490015</t>
  </si>
  <si>
    <t>Geam,Yudi,Geam Yudi,34214,Tocantins (TO),63,993827457,5925706388</t>
  </si>
  <si>
    <t>Poline,Milani,Poline Milani,31356,Bahia (BA),71,911166271,25238306375</t>
  </si>
  <si>
    <t>Emmanuel,Viana,Emmanuel Viana,34106,Rondônia (RO),69,995942072,89213966907</t>
  </si>
  <si>
    <t>Julie,Piero,Julie Piero,32867,Ceará (CE),88,961556713,28917447337</t>
  </si>
  <si>
    <t>Jéssica,Campos,Jéssica Campos,32793,Acre (AC),68,927306175,38228005090</t>
  </si>
  <si>
    <t>Barbara,Baptista,Barbara Baptista,31099,Rondônia (RO),69,904755251,11551290973</t>
  </si>
  <si>
    <t>Filippo,Suzano,Filippo Suzano,33212,Sergipe (SE),79,918044523,50833929855</t>
  </si>
  <si>
    <t>Luan,Farah,Luan Farah,33952,Rio Grande do Norte (RN),84,945817379,14815289695</t>
  </si>
  <si>
    <t>Bárbara,Braga,Bárbara Braga,32960,Rio Grande do Sul (RS),51,901098289,76673713600</t>
  </si>
  <si>
    <t>Leonardo,Souza,Leonardo Souza,32997,Acre (AC),68,987199287,91510434462</t>
  </si>
  <si>
    <t>Cláudia,Orind,Cláudia Orind,33672,Goiás (GO),62,913172148,11594447675</t>
  </si>
  <si>
    <t>Angelo,Maria,Angelo Maria,33583,Maranhão (MA),98,988024566,83075081113</t>
  </si>
  <si>
    <t>Wen,Bittencourt,Wen Bittencourt,31190,Roraima (RR),95,976352751,68277570928</t>
  </si>
  <si>
    <t>Marisol,Monteiro,Marisol Monteiro,32879,Rio de Janeiro (RJ),21,906554571,60321268281</t>
  </si>
  <si>
    <t>Giulia,Volpi,Giulia Volpi,32816,Paraná (PR),41,996172424,93083466491</t>
  </si>
  <si>
    <t>Luana,Benvinda,Luana Benvinda,31316,Espírito Santo (ES),27,952867205,10397717709</t>
  </si>
  <si>
    <t>Emmanuel,Viana,Emmanuel Viana,32782,Sergipe (SE),79,988529352,92869454788</t>
  </si>
  <si>
    <t>Dayane,Yang,Dayane Yang,31648,Mato Grosso do Sul (MS),84,930781955,57244118347</t>
  </si>
  <si>
    <t>Walter,Ferrer,Walter Ferrer,32850,Minas Gerais (MG),31,975117471,14118497402</t>
  </si>
  <si>
    <t>Felipe,Fernandes,Felipe Fernandes,32794,Santa Catarina (SC),48,966637636,27773205890</t>
  </si>
  <si>
    <t>Anderson,da,Anderson da,31979,Distrito Federal (DF),61,975093761,42344834158</t>
  </si>
  <si>
    <t>Evelyn,Borba,Evelyn Borba,32368,São Paulo (SP),11,946292783,19340648076</t>
  </si>
  <si>
    <t>Stephanie,Bello,Stephanie Bello,32733,Ceará (CE),88,902273438,67575898169</t>
  </si>
  <si>
    <t>Ivana,Sampaio,Ivana Sampaio,32625,Piauí (PI),86,970464500,58338743987</t>
  </si>
  <si>
    <t>Patricia,Limeira,Patricia Limeira,33814,Amazonas (AM),92,967003971,27262200633</t>
  </si>
  <si>
    <t>Diogo,Amor,Diogo Amor,31355,Mato Grosso do Sul (MS),84,952059049,80289081051</t>
  </si>
  <si>
    <t>Talline,Primo,Talline Primo,32312,Sergipe (SE),79,995726035,92673416034</t>
  </si>
  <si>
    <t>Rhuan,Luís,Rhuan Luís,33740,Pará (PA),91,998162047,83216117459</t>
  </si>
  <si>
    <t>Yohana,Chvaicer,Yohana Chvaicer,32891,Maranhão (MA),98,901948886,61007706731</t>
  </si>
  <si>
    <t>Raphael,Allevato,Raphael Allevato,31822,Tocantins (TO),63,963832361,43459687682</t>
  </si>
  <si>
    <t>Raiza,Póvoa,Raiza Póvoa,33485,Amapá (AP),96,963396083,91164414636</t>
  </si>
  <si>
    <t>Breno,Tavares,Breno Tavares,31541,Pernambuco (PE),81,932905086,59705919410</t>
  </si>
  <si>
    <t>Suelen,Accardo,Suelen Accardo,32803,Tocantins (TO),63,950435690,41493260272</t>
  </si>
  <si>
    <t>Cassandra,Beatriz,Cassandra Beatriz,34224,São Paulo (SP),11,966557486,15851537610</t>
  </si>
  <si>
    <t>Natali,Sousa,Natali Sousa,33815,Minas Gerais (MG),31,984118345,46447344975</t>
  </si>
  <si>
    <t>Bianca,Jiun,Bianca Jiun,32949,Amapá (AP),96,972021033,36444570173</t>
  </si>
  <si>
    <t>Giuseppe,Monte,Giuseppe Monte,34159,Pernambuco (PE),81,974806791,32493981470</t>
  </si>
  <si>
    <t>Edgard,Alves,Edgard Alves,31158,Goiás (GO),62,987853229,95783392341</t>
  </si>
  <si>
    <t>Micaele,Carneiro,Micaele Carneiro,32764,Sergipe (SE),79,924352817,3270157617</t>
  </si>
  <si>
    <t>Adelino,Albano,Adelino Albano,33385,Ceará (CE),88,907464192,79344950146</t>
  </si>
  <si>
    <t>Elida,Magahães,Elida Magahães,32469,Pernambuco (PE),81,922193389,63183325469</t>
  </si>
  <si>
    <t>Domenik,Portella,Domenik Portella,32951,Goiás (GO),62,936544868,94030928276</t>
  </si>
  <si>
    <t>Sebastião,José,Sebastião José,33225,Distrito Federal (DF),61,916343709,23435412582</t>
  </si>
  <si>
    <t>Emmanuel,Viana,Emmanuel Viana,31098,Pará (PA),91,956632338,87628458677</t>
  </si>
  <si>
    <t>Renan,Nascimento,Renan Nascimento,31239,Goiás (GO),62,926470923,33086800403</t>
  </si>
  <si>
    <t>Monique,Duarte,Monique Duarte,32081,Santa Catarina (SC),48,926021579,29182077118</t>
  </si>
  <si>
    <t>Leonardo,Souza,Leonardo Souza,32258,Piauí (PI),86,971628529,84404127461</t>
  </si>
  <si>
    <t>Fellipe,Almeida,Fellipe Almeida,31484,Minas Gerais (MG),31,931068916,47683081214</t>
  </si>
  <si>
    <t>Adailton,Paulo,Adailton Paulo,33432,Amapá (AP),96,936773885,52404437925</t>
  </si>
  <si>
    <t>Rodrigo,Piccinini,Rodrigo Piccinini,33395,Pará (PA),91,986644673,12064574401</t>
  </si>
  <si>
    <t>Thainá,Arslanian,Thainá Arslanian,33556,Rondônia (RO),69,937047865,9668379073</t>
  </si>
  <si>
    <t>Catarina,Cavalcanti,Catarina Cavalcanti,31725,Minas Gerais (MG),31,909990198,25725458016</t>
  </si>
  <si>
    <t>Arnôr,Tiradentes,Arnôr Tiradentes,31964,Paraná (PR),41,999884015,74448087678</t>
  </si>
  <si>
    <t>Jennifer,Riany,Jennifer Riany,32000,Piauí (PI),86,991132383,864320945</t>
  </si>
  <si>
    <t>Vitoria,Villar,Vitoria Villar,32714,Mato Grosso (MT),65,951479014,23825418813</t>
  </si>
  <si>
    <t>Micaele,Carneiro,Micaele Carneiro,32519,Mato Grosso do Sul (MS),84,959838870,86413113357</t>
  </si>
  <si>
    <t>Fabio,Jorge,Fabio Jorge,31524,Pará (PA),91,989605098,37849389863</t>
  </si>
  <si>
    <t>Raiam,Crespo,Raiam Crespo,33461,São Paulo (SP),11,957379232,7543455654</t>
  </si>
  <si>
    <t>Nathan,Caetano,Nathan Caetano,34193,Rio de Janeiro (RJ),21,959397444,70402300573</t>
  </si>
  <si>
    <t>Marcus,Taylor,Marcus Taylor,33762,Espírito Santo (ES),27,969234853,83152032428</t>
  </si>
  <si>
    <t>Murilo,Jose,Murilo Jose,33311,Distrito Federal (DF),61,931176619,52703435615</t>
  </si>
  <si>
    <t>Erick,Nico,Erick Nico,31452,Piauí (PI),86,918025544,74476147656</t>
  </si>
  <si>
    <t>Christine,Rodrigues,Christine Rodrigues,32340,Amazonas (AM),92,962880258,86188379333</t>
  </si>
  <si>
    <t>Gil,Rosa,Gil Rosa,33789,Tocantins (TO),63,954584597,32451655817</t>
  </si>
  <si>
    <t>Cynthia,Tostes,Cynthia Tostes,31412,Paraná (PR),41,922157365,39441813048</t>
  </si>
  <si>
    <t>Talline,Primo,Talline Primo,31957,Santa Catarina (SC),48,990221814,86098815406</t>
  </si>
  <si>
    <t>Henrique,Domingues,Henrique Domingues,33558,Mato Grosso do Sul (MS),84,957313341,65114909432</t>
  </si>
  <si>
    <t>Karoline,Pacheco,Karoline Pacheco,32107,Espírito Santo (ES),27,992644127,36501572062</t>
  </si>
  <si>
    <t>Dalvan,Costa,Dalvan Costa,33335,Acre (AC),68,985872839,97862857215</t>
  </si>
  <si>
    <t>Jefferson,Cavadas,Jefferson Cavadas,32534,Pará (PA),91,963429086,84335027123</t>
  </si>
  <si>
    <t>Silvio,Kohn,Silvio Kohn,32736,Mato Grosso do Sul (MS),84,917627763,65028223942</t>
  </si>
  <si>
    <t>Daniella,Tkotz,Daniella Tkotz,33510,Rio Grande do Sul (RS),51,998065483,58397981006</t>
  </si>
  <si>
    <t>Etiene,Barreira,Etiene Barreira,32777,Rio de Janeiro (RJ),21,973633160,73929569850</t>
  </si>
  <si>
    <t>Mariana,Felix,Mariana Felix,31944,Rio Grande do Norte (RN),84,996114760,50816941357</t>
  </si>
  <si>
    <t>Mirian,Mollica,Mirian Mollica,31382,Ceará (CE),88,967194174,17062907199</t>
  </si>
  <si>
    <t>Julia,Cossich,Julia Cossich,32734,Maranhão (MA),98,943149747,72754203152</t>
  </si>
  <si>
    <t>Thais,Lopez,Thais Lopez,32380,Distrito Federal (DF),61,984811275,48481073986</t>
  </si>
  <si>
    <t>Henrique,Domingues,Henrique Domingues,33860,Mato Grosso do Sul (MS),84,907752089,74706064159</t>
  </si>
  <si>
    <t>Débora,Moraes,Débora Moraes,32900,Rondônia (RO),69,945964840,42585445368</t>
  </si>
  <si>
    <t>Jose,Vilachã,Jose Vilachã,33388,Santa Catarina (SC),48,931637491,28770536961</t>
  </si>
  <si>
    <t>Maciela,Freixo,Maciela Freixo,31342,São Paulo (SP),11,974109369,60647431732</t>
  </si>
  <si>
    <t>Rodrigo,Piccinini,Rodrigo Piccinini,34026,Santa Catarina (SC),48,914095908,60627494310</t>
  </si>
  <si>
    <t>Ingra,Reis,Ingra Reis,32613,São Paulo (SP),11,925582384,8210400645</t>
  </si>
  <si>
    <t>Adriana,Pessoa,Adriana Pessoa,32138,Amapá (AP),96,933143511,35677878174</t>
  </si>
  <si>
    <t>Marcia,Filgueiras,Marcia Filgueiras,33417,Alagoas (AL),82,967067603,94834293734</t>
  </si>
  <si>
    <t>Elaine,Caroline,Elaine Caroline,33315,Tocantins (TO),63,932595139,67516535807</t>
  </si>
  <si>
    <t>Walmyr,Alvim,Walmyr Alvim,33116,Goiás (GO),62,954573858,47328908894</t>
  </si>
  <si>
    <t>Fillipe,Hejda,Fillipe Hejda,31962,Amapá (AP),96,974451099,8176768053</t>
  </si>
  <si>
    <t>Yve,Dória,Yve Dória,34092,Minas Gerais (MG),31,981619201,4147425679</t>
  </si>
  <si>
    <t>Samuel,Totti,Samuel Totti,32085,Espírito Santo (ES),27,910541761,84865780087</t>
  </si>
  <si>
    <t>Tomas,Palha,Tomas Palha,34143,Santa Catarina (SC),48,917026114,89633119856</t>
  </si>
  <si>
    <t>Daniele,Bogossian,Daniele Bogossian,32184,Mato Grosso do Sul (MS),84,939648682,87602187760</t>
  </si>
  <si>
    <t>Raiza,Póvoa,Raiza Póvoa,31182,Maranhão (MA),98,907372602,96325095356</t>
  </si>
  <si>
    <t>Fillipe,Hejda,Fillipe Hejda,32683,Minas Gerais (MG),31,940540387,41770810996</t>
  </si>
  <si>
    <t>Antonio,Peixoto,Antonio Peixoto,31442,Sergipe (SE),79,944659405,45939969526</t>
  </si>
  <si>
    <t>Kassia,Linhares,Kassia Linhares,31460,São Paulo (SP),11,919279793,51249232610</t>
  </si>
  <si>
    <t>Sebastião,José,Sebastião José,31635,Pernambuco (PE),81,951968449,61733423204</t>
  </si>
  <si>
    <t>Evelyn,Borba,Evelyn Borba,31506,Mato Grosso (MT),65,954183332,79968567380</t>
  </si>
  <si>
    <t>Isabelle,Baldanzi,Isabelle Baldanzi,32559,Sergipe (SE),79,969944304,40250143905</t>
  </si>
  <si>
    <t>Rogério,Fontana,Rogério Fontana,32503,Acre (AC),68,985242301,32018985434</t>
  </si>
  <si>
    <t>Yohana,Chvaicer,Yohana Chvaicer,31797,Acre (AC),68,975704135,33751207575</t>
  </si>
  <si>
    <t>Alessandra,Greici,Alessandra Greici,31180,Rondônia (RO),69,947208051,26205480570</t>
  </si>
  <si>
    <t>Raiza,Póvoa,Raiza Póvoa,32572,Maranhão (MA),98,988369667,78483691040</t>
  </si>
  <si>
    <t>Jose,Vilachã,Jose Vilachã,32436,Distrito Federal (DF),61,946060414,97517706080</t>
  </si>
  <si>
    <t>Wesley,Mercês,Wesley Mercês,31992,Ceará (CE),88,977663860,57504492574</t>
  </si>
  <si>
    <t>Luiza,Andréa,Luiza Andréa,31933,Paraná (PR),41,937539138,95294928814</t>
  </si>
  <si>
    <t>Tayla,Borowicz,Tayla Borowicz,31485,Goiás (GO),62,911588393,21775596990</t>
  </si>
  <si>
    <t>Marcella,Corrêa,Marcella Corrêa,31405,Espírito Santo (ES),27,949230162,54347165956</t>
  </si>
  <si>
    <t>Gabryela,Nuñez,Gabryela Nuñez,31606,Rio Grande do Norte (RN),84,919393790,73666065813</t>
  </si>
  <si>
    <t>Giuseppe,Monte,Giuseppe Monte,31535,Pará (PA),91,921231505,81526706293</t>
  </si>
  <si>
    <t>Alexia,Henrique,Alexia Henrique,33886,Ceará (CE),88,952906257,62330871638</t>
  </si>
  <si>
    <t>Cinthia,Hermano,Cinthia Hermano,33064,Ceará (CE),88,914344433,60946150630</t>
  </si>
  <si>
    <t>Vladimir,Magalhaes,Vladimir Magalhaes,32667,Minas Gerais (MG),31,988715427,19708565101</t>
  </si>
  <si>
    <t>Ananda,Fernandez,Ananda Fernandez,33178,Piauí (PI),86,946124332,16858830859</t>
  </si>
  <si>
    <t>Laura,Novaes,Laura Novaes,31240,Paraná (PR),41,916114147,23457649502</t>
  </si>
  <si>
    <t>Tainá,Dantas,Tainá Dantas,32070,Santa Catarina (SC),48,918433787,73461775476</t>
  </si>
  <si>
    <t>Adrielle,Carrera,Adrielle Carrera,34114,Bahia (BA),71,987976552,16731298634</t>
  </si>
  <si>
    <t>Cleo,Areias,Cleo Areias,32856,Rio Grande do Sul (RS),51,990510340,51107032408</t>
  </si>
  <si>
    <t>Beatriz,Gomes,Beatriz Gomes,31258,Rio Grande do Norte (RN),84,957632009,15586272586</t>
  </si>
  <si>
    <t>Beatriz,Gomes,Beatriz Gomes,33626,Amapá (AP),96,983637627,95213634764</t>
  </si>
  <si>
    <t>Jeronimo,Francisca,Jeronimo Francisca,33899,Alagoas (AL),82,937007950,80157517501</t>
  </si>
  <si>
    <t>Andre,Carolina,Andre Carolina,31579,Pará (PA),91,962748050,18190488516</t>
  </si>
  <si>
    <t>Lucca,Sant'Anna,Lucca Sant'Anna,32278,Bahia (BA),71,956473449,27128128629</t>
  </si>
  <si>
    <t>Jackson,Pellegrini,Jackson Pellegrini,33162,Pará (PA),91,961699656,5701879952</t>
  </si>
  <si>
    <t>Jean,Palhota,Jean Palhota,33007,Minas Gerais (MG),31,972121301,78453241186</t>
  </si>
  <si>
    <t>Daniella,Tkotz,Daniella Tkotz,33993,Sergipe (SE),79,930285729,64318264982</t>
  </si>
  <si>
    <t>Marisol,Monteiro,Marisol Monteiro,33840,Sergipe (SE),79,928143584,12300022982</t>
  </si>
  <si>
    <t>Wagner,Marcolini,Wagner Marcolini,32455,Alagoas (AL),82,971383264,27488691112</t>
  </si>
  <si>
    <t>Julliana,Carvalhal,Julliana Carvalhal,33732,Paraíba (PB),83,995682930,64820555036</t>
  </si>
  <si>
    <t>Mariane,Bezerra,Mariane Bezerra,33781,Paraíba (PB),83,902508319,46178845695</t>
  </si>
  <si>
    <t>Dayane,Yang,Dayane Yang,32762,Goiás (GO),62,956188292,87091240170</t>
  </si>
  <si>
    <t>Claudia,Gama,Claudia Gama,32015,Paraíba (PB),83,904769110,74403459583</t>
  </si>
  <si>
    <t>Alexandre,Bizzo,Alexandre Bizzo,34060,Pernambuco (PE),81,981038471,57841541349</t>
  </si>
  <si>
    <t>Daniella,Tkotz,Daniella Tkotz,31558,Rio Grande do Sul (RS),51,966038463,76711361760</t>
  </si>
  <si>
    <t>Barbara,Baptista,Barbara Baptista,31818,Rio Grande do Sul (RS),51,922287109,54159282850</t>
  </si>
  <si>
    <t>Hiaiune,Abranches,Hiaiune Abranches,32610,Sergipe (SE),79,968869517,20996052801</t>
  </si>
  <si>
    <t>Érica,Coelho,Érica Coelho,32381,Distrito Federal (DF),61,968200560,8735831416</t>
  </si>
  <si>
    <t>Julia,Cossich,Julia Cossich,32351,Rio Grande do Sul (RS),51,912506810,9613977515</t>
  </si>
  <si>
    <t>Luana,Benvinda,Luana Benvinda,31649,Maranhão (MA),98,959271160,45951504739</t>
  </si>
  <si>
    <t>Thamires,Akerman,Thamires Akerman,31158,Acre (AC),68,958163038,2483274624</t>
  </si>
  <si>
    <t>Pablo,Fasano,Pablo Fasano,31582,Tocantins (TO),63,976407207,46579818603</t>
  </si>
  <si>
    <t>Gustavo,Fracalossi,Gustavo Fracalossi,31900,Mato Grosso (MT),65,958536119,36996876477</t>
  </si>
  <si>
    <t>Lucas,Franciele,Lucas Franciele,33063,Rio de Janeiro (RJ),21,997863229,14439309628</t>
  </si>
  <si>
    <t>Paula,César,Paula César,31607,Sergipe (SE),79,977514063,87249253484</t>
  </si>
  <si>
    <t>Pablo,Fasano,Pablo Fasano,31705,Rio de Janeiro (RJ),21,971007978,14278162333</t>
  </si>
  <si>
    <t>Mariana,Felix,Mariana Felix,31383,Mato Grosso (MT),65,912133348,57902293691</t>
  </si>
  <si>
    <t>Yasmim,Capitulo,Yasmim Capitulo,32698,Amapá (AP),96,963991625,4656200027</t>
  </si>
  <si>
    <t>Julio,Teles,Julio Teles,31482,Goiás (GO),62,914554249,64670366593</t>
  </si>
  <si>
    <t>Danilo,Aparecida,Danilo Aparecida,32006,Rio de Janeiro (RJ),21,957762149,9370214278</t>
  </si>
  <si>
    <t>Luciana,Castro,Luciana Castro,33335,Mato Grosso (MT),65,917435555,42789904458</t>
  </si>
  <si>
    <t>Luís,Infante,Luís Infante,34311,Ceará (CE),88,924568633,70502048526</t>
  </si>
  <si>
    <t>Taila,Li,Taila Li,32616,Tocantins (TO),63,920871918,74161765378</t>
  </si>
  <si>
    <t>Alexia,Henrique,Alexia Henrique,32821,Espírito Santo (ES),27,998581440,815319056</t>
  </si>
  <si>
    <t>Antônio,Moreira,Antônio Moreira,32254,Amapá (AP),96,965565335,69587614216</t>
  </si>
  <si>
    <t>Khaio,Frossard,Khaio Frossard,31637,Pará (PA),91,914903945,44129414837</t>
  </si>
  <si>
    <t>Nayne,Gouvêa,Nayne Gouvêa,31296,Pernambuco (PE),81,900796443,26367223569</t>
  </si>
  <si>
    <t>Thays,Thome,Thays Thome,31250,São Paulo (SP),11,902278526,74245081007</t>
  </si>
  <si>
    <t>Enrico,Diogo,Enrico Diogo,31844,Distrito Federal (DF),61,922605680,96043383228</t>
  </si>
  <si>
    <t>Guilherme,Sena,Guilherme Sena,33117,Acre (AC),68,930734918,41903048615</t>
  </si>
  <si>
    <t>Murilo,Jose,Murilo Jose,33231,Roraima (RR),95,954911240,13047489262</t>
  </si>
  <si>
    <t>Gabriel,Aguiar,Gabriel Aguiar,31204,Amazonas (AM),92,908506551,21242628689</t>
  </si>
  <si>
    <t>Danielle,Martins,Danielle Martins,31955,Bahia (BA),71,905920640,83939959231</t>
  </si>
  <si>
    <t>Andreza,Thamires,Andreza Thamires,32961,Goiás (GO),62,926057372,16630531993</t>
  </si>
  <si>
    <t>Valéria,Vilas,Valéria Vilas,33744,Roraima (RR),95,911911889,22811297038</t>
  </si>
  <si>
    <t>Yasmin,Thury,Yasmin Thury,32368,Goiás (GO),62,936898775,52797441748</t>
  </si>
  <si>
    <t>Bruna,Barberini,Bruna Barberini,32651,Paraíba (PB),83,938461189,50156082886</t>
  </si>
  <si>
    <t>Thalita,Raggi,Thalita Raggi,32140,Piauí (PI),86,984020669,18233522995</t>
  </si>
  <si>
    <t>Emilaine,Serra,Emilaine Serra,33584,São Paulo (SP),11,905630884,37852163009</t>
  </si>
  <si>
    <t>Mateus,Ladogano,Mateus Ladogano,33178,Roraima (RR),95,999352927,86490889750</t>
  </si>
  <si>
    <t>Alfredo,Bandeira,Alfredo Bandeira,32506,Roraima (RR),95,949877083,28821404327</t>
  </si>
  <si>
    <t>Andressa,Ramos,Andressa Ramos,34023,Amazonas (AM),92,966809631,28772125204</t>
  </si>
  <si>
    <t>Maciela,Freixo,Maciela Freixo,31984,Rio Grande do Sul (RS),51,941068424,39036031472</t>
  </si>
  <si>
    <t>León,Roedel,León Roedel,31736,Rio de Janeiro (RJ),21,995608850,61239562596</t>
  </si>
  <si>
    <t>Raíza,Azevedo,Raíza Azevedo,31502,Pernambuco (PE),81,930739456,52956999529</t>
  </si>
  <si>
    <t>Thaisa,Rosario,Thaisa Rosario,33609,Santa Catarina (SC),48,990952698,92808091349</t>
  </si>
  <si>
    <t>Cláudio,Vieira,Cláudio Vieira,31719,Mato Grosso do Sul (MS),84,943203277,17252980383</t>
  </si>
  <si>
    <t>Yla,Bitencourt,Yla Bitencourt,31108,Rio de Janeiro (RJ),21,945556400,18748365468</t>
  </si>
  <si>
    <t>Cassandra,Beatriz,Cassandra Beatriz,33443,Roraima (RR),95,955666765,28330340005</t>
  </si>
  <si>
    <t>Tainah,Jalles,Tainah Jalles,32632,Roraima (RR),95,902573727,3480513509</t>
  </si>
  <si>
    <t>Higor,Osman,Higor Osman,33720,Espírito Santo (ES),27,994539839,72000262248</t>
  </si>
  <si>
    <t>Miguel,Jung,Miguel Jung,32293,Mato Grosso do Sul (MS),84,994035993,49266778978</t>
  </si>
  <si>
    <t>Suelen,Accardo,Suelen Accardo,32608,Amapá (AP),96,925170695,39855162157</t>
  </si>
  <si>
    <t>Gizele,Valladares,Gizele Valladares,33710,Maranhão (MA),98,997580753,62936123365</t>
  </si>
  <si>
    <t>Alfredo,Bandeira,Alfredo Bandeira,32222,Goiás (GO),62,966532881,28024646170</t>
  </si>
  <si>
    <t>Frederico,Rozenbaum,Frederico Rozenbaum,33889,Amazonas (AM),92,903081551,17731677944</t>
  </si>
  <si>
    <t>Gabriela,Cristine,Gabriela Cristine,33933,Rio Grande do Sul (RS),51,929122488,83584865385</t>
  </si>
  <si>
    <t>Nina,Faria,Nina Faria,34267,Paraíba (PB),83,966242665,58644262807</t>
  </si>
  <si>
    <t>Jeter,Julia,Jeter Julia,32057,Alagoas (AL),82,913520445,37168007792</t>
  </si>
  <si>
    <t>Geam,Yudi,Geam Yudi,31181,São Paulo (SP),11,967158994,3046700010</t>
  </si>
  <si>
    <t>Álvaro,Valle,Álvaro Valle,33285,Distrito Federal (DF),61,999656420,57316652363</t>
  </si>
  <si>
    <t>Yasmin,Thury,Yasmin Thury,32004,Tocantins (TO),63,919421162,27854122856</t>
  </si>
  <si>
    <t>Eduardo,Stellet,Eduardo Stellet,32427,Minas Gerais (MG),31,953726688,13947577926</t>
  </si>
  <si>
    <t>Mayná,Goldoni,Mayná Goldoni,34042,Bahia (BA),71,915629816,66216225301</t>
  </si>
  <si>
    <t>Yasmim,Capitulo,Yasmim Capitulo,34248,Bahia (BA),71,922223785,99012795715</t>
  </si>
  <si>
    <t>Thaiz,Reyna,Thaiz Reyna,33977,Distrito Federal (DF),61,957567243,51197725450</t>
  </si>
  <si>
    <t>Thaís,Nemitz,Thaís Nemitz,32157,Amazonas (AM),92,905546617,57647734950</t>
  </si>
  <si>
    <t>Saranna,Brasil,Saranna Brasil,31564,Mato Grosso (MT),65,977819627,13208277890</t>
  </si>
  <si>
    <t>Flávia,Moss,Flávia Moss,32439,Amazonas (AM),92,907492030,62415207369</t>
  </si>
  <si>
    <t>Thárcila,Cravo,Thárcila Cravo,33279,Paraná (PR),41,962987521,83753019082</t>
  </si>
  <si>
    <t>Yasmini,Lana,Yasmini Lana,33739,Sergipe (SE),79,970366771,62779432904</t>
  </si>
  <si>
    <t>Cleo,Areias,Cleo Areias,34255,Mato Grosso do Sul (MS),84,938795706,6091984159</t>
  </si>
  <si>
    <t>Frederico,Rozenbaum,Frederico Rozenbaum,32027,Rio Grande do Sul (RS),51,934662145,8476561670</t>
  </si>
  <si>
    <t>Priscilla,Caldana,Priscilla Caldana,34086,Amazonas (AM),92,987555854,54545699165</t>
  </si>
  <si>
    <t>Cristina,Priscilla,Cristina Priscilla,32223,Pernambuco (PE),81,903611779,80073034454</t>
  </si>
  <si>
    <t>Lohany,Cesar,Lohany Cesar,33880,Mato Grosso (MT),65,909510294,19455987808</t>
  </si>
  <si>
    <t>Fabiane,Guilherme,Fabiane Guilherme,33269,Pará (PA),91,937316265,37695956499</t>
  </si>
  <si>
    <t>Adrian,Torres,Adrian Torres,34163,São Paulo (SP),11,922715385,31646626304</t>
  </si>
  <si>
    <t>Priscila,Coelli,Priscila Coelli,32595,Rio Grande do Sul (RS),51,995550899,18529923531</t>
  </si>
  <si>
    <t>Sandro,Vaz,Sandro Vaz,34311,Rio de Janeiro (RJ),21,945312405,18448841973</t>
  </si>
  <si>
    <t>Alberto,Comas,Alberto Comas,32653,Paraná (PR),41,993227579,28320649538</t>
  </si>
  <si>
    <t>Glaucia,Freire,Glaucia Freire,31380,Rio de Janeiro (RJ),21,915492872,98970220401</t>
  </si>
  <si>
    <t>Tomas,Palha,Tomas Palha,31322,Espírito Santo (ES),27,912737741,51743829519</t>
  </si>
  <si>
    <t>Mônica,Faller,Mônica Faller,33649,Bahia (BA),71,934951757,42590220000</t>
  </si>
  <si>
    <t>Danielle,Martins,Danielle Martins,32761,Pernambuco (PE),81,931917831,59403754844</t>
  </si>
  <si>
    <t>Elizeu,Madeira,Elizeu Madeira,31769,Pernambuco (PE),81,971271461,12565446334</t>
  </si>
  <si>
    <t>Thais,Lopez,Thais Lopez,32348,Tocantins (TO),63,929205620,59928282960</t>
  </si>
  <si>
    <t>Álvaro,Valle,Álvaro Valle,33149,Paraíba (PB),83,923105608,65677339905</t>
  </si>
  <si>
    <t>Micaele,Carneiro,Micaele Carneiro,33332,Pará (PA),91,987523542,93173291745</t>
  </si>
  <si>
    <t>Sandra,Blanc,Sandra Blanc,33324,Pará (PA),91,994326329,9347165122</t>
  </si>
  <si>
    <t>Eduarda,Moulin,Eduarda Moulin,34003,Espírito Santo (ES),27,934091787,12633828534</t>
  </si>
  <si>
    <t>Alex,Paes,Alex Paes,32650,Distrito Federal (DF),61,925553342,15107938742</t>
  </si>
  <si>
    <t>Vivian,Neves,Vivian Neves,34190,Rio Grande do Norte (RN),84,973687703,24034349466</t>
  </si>
  <si>
    <t>Nathalie,Macedo,Nathalie Macedo,33510,Mato Grosso (MT),65,900245739,74992081763</t>
  </si>
  <si>
    <t>Helvio,Coutinho,Helvio Coutinho,33104,Bahia (BA),71,981394898,33793637967</t>
  </si>
  <si>
    <t>Raissa,Menaged,Raissa Menaged,31941,Mato Grosso (MT),65,906880226,46079720299</t>
  </si>
  <si>
    <t>Norbertho,Goulart,Norbertho Goulart,31590,Acre (AC),68,959525877,52375802777</t>
  </si>
  <si>
    <t>Michel,Yumi,Michel Yumi,31591,Paraíba (PB),83,984793094,33911969733</t>
  </si>
  <si>
    <t>Wilson,Aziz,Wilson Aziz,34266,Mato Grosso do Sul (MS),84,985211817,98072673605</t>
  </si>
  <si>
    <t>Thadeu,Vargas,Thadeu Vargas,32811,Piauí (PI),86,995337474,89855497966</t>
  </si>
  <si>
    <t>Morgana,Silveira,Morgana Silveira,32052,Acre (AC),68,933127874,40675671225</t>
  </si>
  <si>
    <t>Suelen,Accardo,Suelen Accardo,34317,Bahia (BA),71,915958370,25181373095</t>
  </si>
  <si>
    <t>Francyne,Fonseca,Francyne Fonseca,32072,Rio de Janeiro (RJ),21,957688021,91709648395</t>
  </si>
  <si>
    <t>Isaac,Mineiro,Isaac Mineiro,33036,Ceará (CE),88,951189481,35394681989</t>
  </si>
  <si>
    <t>Thomas,Campelo,Thomas Campelo,33417,Rio Grande do Sul (RS),51,996487652,20212917309</t>
  </si>
  <si>
    <t>Raíza,Azevedo,Raíza Azevedo,31081,Minas Gerais (MG),31,960602412,37136469624</t>
  </si>
  <si>
    <t>E-mail</t>
  </si>
  <si>
    <t>Servidor</t>
  </si>
  <si>
    <t>joao.ferreira@hashtagtreinamentos.com</t>
  </si>
  <si>
    <t>luiza.franca@terra.com.br</t>
  </si>
  <si>
    <t>ricardo12massafera@uol.net</t>
  </si>
  <si>
    <t>joao.gomes@hotmail.com</t>
  </si>
  <si>
    <t>fabio.neves@yahoo.com.br</t>
  </si>
  <si>
    <t>claudia_barbosa@globo.com</t>
  </si>
  <si>
    <t>paulocesar@brasil.com</t>
  </si>
  <si>
    <t>jessica.campos@microsoft.com.us</t>
  </si>
  <si>
    <t>marcos_braz@hotmail.com</t>
  </si>
  <si>
    <t>ARRUMAR</t>
  </si>
  <si>
    <t>TEXTO</t>
  </si>
  <si>
    <t>CONCAT</t>
  </si>
  <si>
    <t>SUBSTITUIR</t>
  </si>
  <si>
    <t>Substituir</t>
  </si>
  <si>
    <t>Substitui um texto por outro</t>
  </si>
  <si>
    <t>Agrupa vários textos em uma única célula (nesse caso você pode selecionar várias células de uma vez)</t>
  </si>
  <si>
    <t>Agrupa vários textos em uma única célula (nesse caso você deve selecionar uma célula de cada vez)</t>
  </si>
  <si>
    <t>Remove espaços 'desnecessários' do texto (espaço antes do texto, mais de 1 espaço entre palavras, e espaço no final do texto)</t>
  </si>
  <si>
    <t>Converte um valor para texto em um formato específico (ex: converter o número 3 para o texto 'Março)</t>
  </si>
  <si>
    <t>Arrumar</t>
  </si>
  <si>
    <t xml:space="preserve">   Smart   TV    50'  4K - Preto  </t>
  </si>
  <si>
    <t xml:space="preserve"> iPhone 7   -   Dourado</t>
  </si>
  <si>
    <t xml:space="preserve">   Galaxy   S10  -    Cinza   </t>
  </si>
  <si>
    <t xml:space="preserve">  Apple   Watch  - Preto</t>
  </si>
  <si>
    <t xml:space="preserve"> Câmera  Digital   Rebel  T6 - Preto</t>
  </si>
  <si>
    <t xml:space="preserve">    Inspiron  15 - Prata</t>
  </si>
  <si>
    <t xml:space="preserve"> Smart    TV LED   Full  HD   55' -  Preto</t>
  </si>
  <si>
    <t xml:space="preserve">Moto G7 -       Vermelho    </t>
  </si>
  <si>
    <t xml:space="preserve">  iPhone     6S  - Rosa</t>
  </si>
  <si>
    <t>Tablet   M10 Android - Preto</t>
  </si>
  <si>
    <t>Dell  G7 -   Vermelho</t>
  </si>
  <si>
    <t xml:space="preserve">   Smart   TV    75' 4K    - Preto</t>
  </si>
  <si>
    <t xml:space="preserve">      Smart Watch  MI   - Amarelo</t>
  </si>
  <si>
    <t xml:space="preserve">  iPhone   XS -  Preto</t>
  </si>
  <si>
    <t xml:space="preserve">Moto Z -   Vermelho  </t>
  </si>
  <si>
    <t>Galaxy S8 -   Verde</t>
  </si>
  <si>
    <t>iPad 32GB Wifi -  Prata</t>
  </si>
  <si>
    <t>Samsung Dual Core   - Preto</t>
  </si>
  <si>
    <t xml:space="preserve">  Aspire 5   - Cinza</t>
  </si>
  <si>
    <t>Dia da Semana</t>
  </si>
  <si>
    <t>Nome do Mês</t>
  </si>
  <si>
    <t>"(##) #####-####"</t>
  </si>
  <si>
    <t>Função TEXTO</t>
  </si>
  <si>
    <t>Formato de Telefone</t>
  </si>
  <si>
    <t>Data de Conclusão do Relatório</t>
  </si>
  <si>
    <t>Horário de Conclusão do Relatório</t>
  </si>
  <si>
    <t>Link Microsoft Função TEXTO</t>
  </si>
  <si>
    <t xml:space="preserve"> </t>
  </si>
  <si>
    <t>Nome Vendedor</t>
  </si>
  <si>
    <t>Nome do Produto</t>
  </si>
  <si>
    <t>Nome da Classe</t>
  </si>
  <si>
    <t>Nome da Filial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</si>
</sst>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"/>
    <numFmt numFmtId="165" formatCode="_-[$R$-416]\ * #,##0_-;\-[$R$-416]\ * #,##0_-;_-[$R$-416]\ 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9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4" fillId="2" borderId="3" xfId="0" applyFont="1" applyFill="1" applyBorder="1" applyAlignment="1">
      <alignment vertical="center"/>
    </xf>
    <xf numFmtId="164" fontId="4" fillId="2" borderId="4" xfId="0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164" fontId="4" fillId="2" borderId="6" xfId="0" applyNumberFormat="1" applyFont="1" applyFill="1" applyBorder="1" applyAlignment="1">
      <alignment vertical="center"/>
    </xf>
    <xf numFmtId="0" fontId="4" fillId="0" borderId="7" xfId="0" applyFont="1" applyBorder="1"/>
    <xf numFmtId="0" fontId="4" fillId="0" borderId="0" xfId="0" applyFont="1"/>
    <xf numFmtId="0" fontId="4" fillId="0" borderId="9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5" borderId="12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5" borderId="15" xfId="0" applyFill="1" applyBorder="1"/>
    <xf numFmtId="0" fontId="0" fillId="0" borderId="4" xfId="0" applyBorder="1" applyAlignment="1">
      <alignment horizontal="center"/>
    </xf>
    <xf numFmtId="0" fontId="0" fillId="5" borderId="16" xfId="0" applyFill="1" applyBorder="1"/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/>
    <xf numFmtId="0" fontId="0" fillId="0" borderId="2" xfId="0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0" fillId="0" borderId="0" xfId="0"/>
    <xf numFmtId="0" fontId="1" fillId="7" borderId="2" xfId="0" applyFont="1" applyFill="1" applyBorder="1"/>
    <xf numFmtId="0" fontId="4" fillId="0" borderId="9" xfId="0" applyFont="1" applyFill="1" applyBorder="1"/>
    <xf numFmtId="0" fontId="4" fillId="0" borderId="10" xfId="0" applyFont="1" applyFill="1" applyBorder="1"/>
    <xf numFmtId="0" fontId="0" fillId="0" borderId="4" xfId="0" applyBorder="1"/>
    <xf numFmtId="0" fontId="0" fillId="0" borderId="6" xfId="0" applyBorder="1"/>
    <xf numFmtId="0" fontId="9" fillId="0" borderId="0" xfId="3"/>
    <xf numFmtId="14" fontId="0" fillId="0" borderId="0" xfId="0" applyNumberFormat="1"/>
    <xf numFmtId="1" fontId="0" fillId="0" borderId="0" xfId="0" applyNumberFormat="1"/>
    <xf numFmtId="14" fontId="0" fillId="0" borderId="15" xfId="0" applyNumberFormat="1" applyFill="1" applyBorder="1"/>
    <xf numFmtId="20" fontId="0" fillId="0" borderId="16" xfId="0" applyNumberFormat="1" applyFill="1" applyBorder="1"/>
    <xf numFmtId="0" fontId="0" fillId="0" borderId="0" xfId="0" applyFill="1" applyBorder="1"/>
    <xf numFmtId="0" fontId="0" fillId="0" borderId="15" xfId="0" applyFill="1" applyBorder="1"/>
    <xf numFmtId="0" fontId="0" fillId="0" borderId="4" xfId="0" applyFill="1" applyBorder="1"/>
    <xf numFmtId="0" fontId="0" fillId="0" borderId="16" xfId="0" applyFill="1" applyBorder="1"/>
    <xf numFmtId="0" fontId="0" fillId="0" borderId="6" xfId="0" applyFill="1" applyBorder="1"/>
    <xf numFmtId="0" fontId="10" fillId="0" borderId="0" xfId="0" applyFont="1"/>
    <xf numFmtId="0" fontId="7" fillId="4" borderId="8" xfId="0" applyFont="1" applyFill="1" applyBorder="1" applyAlignment="1">
      <alignment horizontal="center" vertical="center" textRotation="180"/>
    </xf>
    <xf numFmtId="0" fontId="7" fillId="4" borderId="0" xfId="0" applyFont="1" applyFill="1" applyBorder="1" applyAlignment="1">
      <alignment horizontal="center" vertical="center" textRotation="180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4">
    <cellStyle name="Cancel 14" xfId="2" xr:uid="{0FC44824-6EB1-4AFA-97E6-1D40B032F61E}"/>
    <cellStyle name="Cancel 2" xfId="1" xr:uid="{C18EA01D-A289-4AF5-83A0-5B040DFCDD57}"/>
    <cellStyle name="Hi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upport.microsoft.com/pt-br/office/texto-fun%C3%A7%C3%A3o-texto-20d5ac4d-7b94-49fd-bb38-93d29371225c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marcos_braz@hotmail.com" TargetMode="External"/><Relationship Id="rId2" Type="http://schemas.openxmlformats.org/officeDocument/2006/relationships/hyperlink" Target="mailto:jessica.campos@microsoft.com.us" TargetMode="External"/><Relationship Id="rId1" Type="http://schemas.openxmlformats.org/officeDocument/2006/relationships/hyperlink" Target="mailto:paulocesar@brasil.com" TargetMode="External"/><Relationship Id="rId6" Type="http://schemas.openxmlformats.org/officeDocument/2006/relationships/hyperlink" Target="mailto:fabio.neves@yahoo.com.br" TargetMode="External"/><Relationship Id="rId5" Type="http://schemas.openxmlformats.org/officeDocument/2006/relationships/hyperlink" Target="mailto:joao.gomes@hotmail.com" TargetMode="External"/><Relationship Id="rId4" Type="http://schemas.openxmlformats.org/officeDocument/2006/relationships/hyperlink" Target="mailto:claudia_barbosa@globo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5"/>
  <sheetViews>
    <sheetView showGridLines="0" zoomScale="145" zoomScaleNormal="145" workbookViewId="0">
      <selection activeCell="C2" sqref="C2:C15"/>
    </sheetView>
  </sheetViews>
  <sheetFormatPr defaultRowHeight="15" x14ac:dyDescent="0.25"/>
  <cols>
    <col min="1" max="1" width="1.140625" customWidth="1"/>
    <col min="2" max="2" width="13" bestFit="1" customWidth="1"/>
  </cols>
  <sheetData>
    <row r="1" spans="2:4" ht="3.95" customHeight="1" thickBot="1" x14ac:dyDescent="0.3"/>
    <row r="2" spans="2:4" ht="14.45" customHeight="1" x14ac:dyDescent="0.25">
      <c r="B2" s="11" t="s">
        <v>8</v>
      </c>
      <c r="C2" s="48" t="s">
        <v>9</v>
      </c>
      <c r="D2" s="12" t="s">
        <v>20</v>
      </c>
    </row>
    <row r="3" spans="2:4" x14ac:dyDescent="0.25">
      <c r="B3" s="13" t="s">
        <v>10</v>
      </c>
      <c r="C3" s="49"/>
      <c r="D3" s="12" t="s">
        <v>21</v>
      </c>
    </row>
    <row r="4" spans="2:4" x14ac:dyDescent="0.25">
      <c r="B4" s="13" t="s">
        <v>11</v>
      </c>
      <c r="C4" s="49"/>
      <c r="D4" s="12" t="s">
        <v>22</v>
      </c>
    </row>
    <row r="5" spans="2:4" x14ac:dyDescent="0.25">
      <c r="B5" s="13" t="s">
        <v>12</v>
      </c>
      <c r="C5" s="49"/>
      <c r="D5" s="12" t="s">
        <v>2704</v>
      </c>
    </row>
    <row r="6" spans="2:4" x14ac:dyDescent="0.25">
      <c r="B6" s="33" t="s">
        <v>2699</v>
      </c>
      <c r="C6" s="49"/>
      <c r="D6" s="12" t="s">
        <v>2703</v>
      </c>
    </row>
    <row r="7" spans="2:4" x14ac:dyDescent="0.25">
      <c r="B7" s="13" t="s">
        <v>13</v>
      </c>
      <c r="C7" s="49"/>
      <c r="D7" s="12" t="s">
        <v>14</v>
      </c>
    </row>
    <row r="8" spans="2:4" x14ac:dyDescent="0.25">
      <c r="B8" s="13" t="s">
        <v>26</v>
      </c>
      <c r="C8" s="49"/>
      <c r="D8" s="12" t="s">
        <v>27</v>
      </c>
    </row>
    <row r="9" spans="2:4" x14ac:dyDescent="0.25">
      <c r="B9" s="13" t="s">
        <v>15</v>
      </c>
      <c r="C9" s="49"/>
      <c r="D9" s="12" t="s">
        <v>23</v>
      </c>
    </row>
    <row r="10" spans="2:4" x14ac:dyDescent="0.25">
      <c r="B10" s="13" t="s">
        <v>16</v>
      </c>
      <c r="C10" s="49"/>
      <c r="D10" s="12" t="s">
        <v>24</v>
      </c>
    </row>
    <row r="11" spans="2:4" x14ac:dyDescent="0.25">
      <c r="B11" s="13" t="s">
        <v>17</v>
      </c>
      <c r="C11" s="49"/>
      <c r="D11" s="12" t="s">
        <v>25</v>
      </c>
    </row>
    <row r="12" spans="2:4" x14ac:dyDescent="0.25">
      <c r="B12" s="33" t="s">
        <v>2700</v>
      </c>
      <c r="C12" s="49"/>
      <c r="D12" s="12" t="s">
        <v>2702</v>
      </c>
    </row>
    <row r="13" spans="2:4" x14ac:dyDescent="0.25">
      <c r="B13" s="13" t="s">
        <v>18</v>
      </c>
      <c r="C13" s="49"/>
      <c r="D13" s="12" t="s">
        <v>19</v>
      </c>
    </row>
    <row r="14" spans="2:4" x14ac:dyDescent="0.25">
      <c r="B14" s="33" t="s">
        <v>2697</v>
      </c>
      <c r="C14" s="49"/>
      <c r="D14" s="12" t="s">
        <v>2705</v>
      </c>
    </row>
    <row r="15" spans="2:4" ht="15.75" thickBot="1" x14ac:dyDescent="0.3">
      <c r="B15" s="34" t="s">
        <v>2698</v>
      </c>
      <c r="C15" s="49"/>
      <c r="D15" s="12" t="s">
        <v>2706</v>
      </c>
    </row>
  </sheetData>
  <mergeCells count="1">
    <mergeCell ref="C2:C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ABEF-87D2-49CA-B7B0-F0D59E769B9A}">
  <dimension ref="B1:D14"/>
  <sheetViews>
    <sheetView showGridLines="0" zoomScale="145" zoomScaleNormal="145" workbookViewId="0"/>
  </sheetViews>
  <sheetFormatPr defaultRowHeight="15" x14ac:dyDescent="0.25"/>
  <cols>
    <col min="1" max="1" width="1" customWidth="1"/>
    <col min="2" max="2" width="16.7109375" bestFit="1" customWidth="1"/>
    <col min="3" max="3" width="19.85546875" bestFit="1" customWidth="1"/>
  </cols>
  <sheetData>
    <row r="1" spans="2:4" ht="3.6" customHeight="1" thickBot="1" x14ac:dyDescent="0.3"/>
    <row r="2" spans="2:4" ht="15.75" thickBot="1" x14ac:dyDescent="0.3">
      <c r="B2" s="24" t="s">
        <v>28</v>
      </c>
    </row>
    <row r="3" spans="2:4" ht="15.75" thickBot="1" x14ac:dyDescent="0.3"/>
    <row r="4" spans="2:4" x14ac:dyDescent="0.25">
      <c r="B4" s="16" t="s">
        <v>8</v>
      </c>
      <c r="C4" s="17" t="str">
        <f>LEFT(B2,4)</f>
        <v>João</v>
      </c>
      <c r="D4" s="18"/>
    </row>
    <row r="5" spans="2:4" x14ac:dyDescent="0.25">
      <c r="B5" s="19" t="s">
        <v>10</v>
      </c>
      <c r="C5" s="15" t="str">
        <f>RIGHT(B2,7)</f>
        <v>Martins</v>
      </c>
      <c r="D5" s="20"/>
    </row>
    <row r="6" spans="2:4" x14ac:dyDescent="0.25">
      <c r="B6" s="19" t="s">
        <v>11</v>
      </c>
      <c r="C6" s="15">
        <f>LEN(B2)</f>
        <v>18</v>
      </c>
      <c r="D6" s="20"/>
    </row>
    <row r="7" spans="2:4" x14ac:dyDescent="0.25">
      <c r="B7" s="19" t="s">
        <v>12</v>
      </c>
      <c r="C7" s="15" t="str">
        <f>CONCATENATE(C4," ",C5)</f>
        <v>João Martins</v>
      </c>
      <c r="D7" s="20"/>
    </row>
    <row r="8" spans="2:4" x14ac:dyDescent="0.25">
      <c r="B8" s="19" t="s">
        <v>13</v>
      </c>
      <c r="C8" s="15">
        <f>SEARCH("Paulo",B2)</f>
        <v>6</v>
      </c>
      <c r="D8" s="20"/>
    </row>
    <row r="9" spans="2:4" x14ac:dyDescent="0.25">
      <c r="B9" s="19" t="s">
        <v>26</v>
      </c>
      <c r="C9" s="15">
        <f>FIND("Paulo",B2)</f>
        <v>6</v>
      </c>
      <c r="D9" s="20"/>
    </row>
    <row r="10" spans="2:4" x14ac:dyDescent="0.25">
      <c r="B10" s="19" t="s">
        <v>15</v>
      </c>
      <c r="C10" s="15" t="str">
        <f>MID(B2,6,5)</f>
        <v>Paulo</v>
      </c>
      <c r="D10" s="20"/>
    </row>
    <row r="11" spans="2:4" x14ac:dyDescent="0.25">
      <c r="B11" s="19" t="s">
        <v>16</v>
      </c>
      <c r="C11" s="15" t="str">
        <f>LOWER(B2)</f>
        <v>joão paulo martins</v>
      </c>
      <c r="D11" s="20"/>
    </row>
    <row r="12" spans="2:4" x14ac:dyDescent="0.25">
      <c r="B12" s="19" t="s">
        <v>17</v>
      </c>
      <c r="C12" s="15" t="str">
        <f>UPPER(B2)</f>
        <v>JOÃO PAULO MARTINS</v>
      </c>
      <c r="D12" s="20"/>
    </row>
    <row r="13" spans="2:4" x14ac:dyDescent="0.25">
      <c r="B13" s="19" t="s">
        <v>18</v>
      </c>
      <c r="C13" s="15" t="str">
        <f>PROPER(C12)</f>
        <v>João Paulo Martins</v>
      </c>
      <c r="D13" s="20"/>
    </row>
    <row r="14" spans="2:4" ht="15.75" thickBot="1" x14ac:dyDescent="0.3">
      <c r="B14" s="21" t="s">
        <v>2701</v>
      </c>
      <c r="C14" s="22" t="str">
        <f>SUBSTITUTE(B2,"Martins","Lira")</f>
        <v>João Paulo Lira</v>
      </c>
      <c r="D14" s="2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A226-4CA6-40F4-AC8D-686D0E76EBCB}">
  <dimension ref="B1:I26"/>
  <sheetViews>
    <sheetView showGridLines="0" zoomScale="145" zoomScaleNormal="145" workbookViewId="0"/>
  </sheetViews>
  <sheetFormatPr defaultColWidth="8.7109375" defaultRowHeight="15" x14ac:dyDescent="0.25"/>
  <cols>
    <col min="1" max="1" width="1" style="31" customWidth="1"/>
    <col min="2" max="2" width="32.140625" style="31" bestFit="1" customWidth="1"/>
    <col min="3" max="3" width="28.140625" style="31" bestFit="1" customWidth="1"/>
    <col min="4" max="4" width="8.7109375" style="31"/>
    <col min="5" max="5" width="14.85546875" style="31" bestFit="1" customWidth="1"/>
    <col min="6" max="6" width="17.140625" style="31" bestFit="1" customWidth="1"/>
    <col min="7" max="16384" width="8.7109375" style="31"/>
  </cols>
  <sheetData>
    <row r="1" spans="2:9" ht="3.6" customHeight="1" thickBot="1" x14ac:dyDescent="0.3"/>
    <row r="2" spans="2:9" x14ac:dyDescent="0.25">
      <c r="B2" s="50" t="s">
        <v>2707</v>
      </c>
      <c r="C2" s="51"/>
      <c r="E2"/>
      <c r="F2"/>
      <c r="G2"/>
      <c r="H2"/>
      <c r="I2"/>
    </row>
    <row r="3" spans="2:9" x14ac:dyDescent="0.25">
      <c r="B3" s="43" t="s">
        <v>2708</v>
      </c>
      <c r="C3" s="44"/>
      <c r="E3"/>
      <c r="F3"/>
      <c r="G3"/>
      <c r="H3"/>
      <c r="I3"/>
    </row>
    <row r="4" spans="2:9" x14ac:dyDescent="0.25">
      <c r="B4" s="43" t="s">
        <v>2709</v>
      </c>
      <c r="C4" s="44"/>
      <c r="E4"/>
      <c r="F4"/>
      <c r="G4"/>
      <c r="H4"/>
      <c r="I4"/>
    </row>
    <row r="5" spans="2:9" x14ac:dyDescent="0.25">
      <c r="B5" s="43" t="s">
        <v>2710</v>
      </c>
      <c r="C5" s="44"/>
      <c r="E5"/>
      <c r="F5"/>
      <c r="G5"/>
      <c r="H5"/>
      <c r="I5"/>
    </row>
    <row r="6" spans="2:9" x14ac:dyDescent="0.25">
      <c r="B6" s="43" t="s">
        <v>2711</v>
      </c>
      <c r="C6" s="44"/>
      <c r="E6"/>
      <c r="F6"/>
      <c r="G6"/>
      <c r="H6"/>
      <c r="I6"/>
    </row>
    <row r="7" spans="2:9" x14ac:dyDescent="0.25">
      <c r="B7" s="43" t="s">
        <v>2712</v>
      </c>
      <c r="C7" s="44"/>
      <c r="E7"/>
      <c r="F7"/>
      <c r="G7"/>
      <c r="H7"/>
      <c r="I7"/>
    </row>
    <row r="8" spans="2:9" x14ac:dyDescent="0.25">
      <c r="B8" s="43" t="s">
        <v>66</v>
      </c>
      <c r="C8" s="44"/>
      <c r="E8"/>
      <c r="F8"/>
      <c r="G8"/>
      <c r="H8"/>
      <c r="I8"/>
    </row>
    <row r="9" spans="2:9" x14ac:dyDescent="0.25">
      <c r="B9" s="43" t="s">
        <v>2713</v>
      </c>
      <c r="C9" s="44"/>
      <c r="E9"/>
      <c r="F9"/>
      <c r="G9"/>
      <c r="H9"/>
      <c r="I9"/>
    </row>
    <row r="10" spans="2:9" x14ac:dyDescent="0.25">
      <c r="B10" s="43" t="s">
        <v>2714</v>
      </c>
      <c r="C10" s="44"/>
    </row>
    <row r="11" spans="2:9" x14ac:dyDescent="0.25">
      <c r="B11" s="43" t="s">
        <v>2715</v>
      </c>
      <c r="C11" s="44"/>
    </row>
    <row r="12" spans="2:9" x14ac:dyDescent="0.25">
      <c r="B12" s="43" t="s">
        <v>2716</v>
      </c>
      <c r="C12" s="44"/>
    </row>
    <row r="13" spans="2:9" x14ac:dyDescent="0.25">
      <c r="B13" s="43" t="s">
        <v>2717</v>
      </c>
      <c r="C13" s="44"/>
    </row>
    <row r="14" spans="2:9" x14ac:dyDescent="0.25">
      <c r="B14" s="43" t="s">
        <v>2718</v>
      </c>
      <c r="C14" s="44"/>
    </row>
    <row r="15" spans="2:9" x14ac:dyDescent="0.25">
      <c r="B15" s="43" t="s">
        <v>78</v>
      </c>
      <c r="C15" s="44"/>
    </row>
    <row r="16" spans="2:9" x14ac:dyDescent="0.25">
      <c r="B16" s="43" t="s">
        <v>80</v>
      </c>
      <c r="C16" s="44"/>
    </row>
    <row r="17" spans="2:3" x14ac:dyDescent="0.25">
      <c r="B17" s="43" t="s">
        <v>81</v>
      </c>
      <c r="C17" s="44"/>
    </row>
    <row r="18" spans="2:3" x14ac:dyDescent="0.25">
      <c r="B18" s="43" t="s">
        <v>83</v>
      </c>
      <c r="C18" s="44"/>
    </row>
    <row r="19" spans="2:3" x14ac:dyDescent="0.25">
      <c r="B19" s="43" t="s">
        <v>2719</v>
      </c>
      <c r="C19" s="44"/>
    </row>
    <row r="20" spans="2:3" x14ac:dyDescent="0.25">
      <c r="B20" s="43" t="s">
        <v>2720</v>
      </c>
      <c r="C20" s="44"/>
    </row>
    <row r="21" spans="2:3" x14ac:dyDescent="0.25">
      <c r="B21" s="43" t="s">
        <v>2721</v>
      </c>
      <c r="C21" s="44"/>
    </row>
    <row r="22" spans="2:3" x14ac:dyDescent="0.25">
      <c r="B22" s="43" t="s">
        <v>2722</v>
      </c>
      <c r="C22" s="44"/>
    </row>
    <row r="23" spans="2:3" x14ac:dyDescent="0.25">
      <c r="B23" s="43" t="s">
        <v>2723</v>
      </c>
      <c r="C23" s="44"/>
    </row>
    <row r="24" spans="2:3" x14ac:dyDescent="0.25">
      <c r="B24" s="43" t="s">
        <v>2724</v>
      </c>
      <c r="C24" s="44"/>
    </row>
    <row r="25" spans="2:3" x14ac:dyDescent="0.25">
      <c r="B25" s="43" t="s">
        <v>2725</v>
      </c>
      <c r="C25" s="44"/>
    </row>
    <row r="26" spans="2:3" ht="15.75" thickBot="1" x14ac:dyDescent="0.3">
      <c r="B26" s="45" t="s">
        <v>2726</v>
      </c>
      <c r="C26" s="46"/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275A-992D-4A09-AC3F-94B928AC747D}">
  <dimension ref="B1:F9"/>
  <sheetViews>
    <sheetView showGridLines="0" topLeftCell="B4" zoomScale="175" zoomScaleNormal="175" workbookViewId="0">
      <selection activeCell="C8" sqref="C8"/>
    </sheetView>
  </sheetViews>
  <sheetFormatPr defaultColWidth="8.7109375" defaultRowHeight="15" x14ac:dyDescent="0.25"/>
  <cols>
    <col min="1" max="1" width="1" style="31" customWidth="1"/>
    <col min="2" max="2" width="12.5703125" style="31" bestFit="1" customWidth="1"/>
    <col min="3" max="3" width="40.28515625" style="31" bestFit="1" customWidth="1"/>
    <col min="4" max="4" width="13.42578125" style="31" customWidth="1"/>
    <col min="5" max="5" width="14.85546875" style="31" bestFit="1" customWidth="1"/>
    <col min="6" max="6" width="17.140625" style="31" bestFit="1" customWidth="1"/>
    <col min="7" max="16384" width="8.7109375" style="31"/>
  </cols>
  <sheetData>
    <row r="1" spans="2:6" ht="3.6" customHeight="1" thickBot="1" x14ac:dyDescent="0.3"/>
    <row r="2" spans="2:6" x14ac:dyDescent="0.25">
      <c r="B2" s="52" t="s">
        <v>2730</v>
      </c>
      <c r="C2" s="53"/>
      <c r="D2" s="37" t="s">
        <v>2734</v>
      </c>
    </row>
    <row r="3" spans="2:6" x14ac:dyDescent="0.25">
      <c r="B3" s="40">
        <v>44411</v>
      </c>
      <c r="C3" s="35" t="str">
        <f>TEXT(B3, "DDDD")</f>
        <v>terça-feira</v>
      </c>
      <c r="D3" s="31" t="s">
        <v>2727</v>
      </c>
    </row>
    <row r="4" spans="2:6" x14ac:dyDescent="0.25">
      <c r="B4" s="40">
        <v>44411</v>
      </c>
      <c r="C4" s="35" t="str">
        <f>TEXT(B4, "MMMM")</f>
        <v>agosto</v>
      </c>
      <c r="D4" s="31" t="s">
        <v>2728</v>
      </c>
    </row>
    <row r="5" spans="2:6" x14ac:dyDescent="0.25">
      <c r="B5" s="43">
        <v>21948524585</v>
      </c>
      <c r="C5" s="35" t="str">
        <f>TEXT(B5, "(##) #####-####")</f>
        <v>(21) 94852-4585</v>
      </c>
      <c r="D5" s="31" t="s">
        <v>2731</v>
      </c>
      <c r="E5" s="38"/>
      <c r="F5" s="31" t="s">
        <v>2729</v>
      </c>
    </row>
    <row r="6" spans="2:6" x14ac:dyDescent="0.25">
      <c r="B6" s="40">
        <v>44079</v>
      </c>
      <c r="C6" s="35" t="str">
        <f>"Data de Conclusão do Relatório: " &amp; TEXT(B6, "DD/MMM/AAAA")</f>
        <v>Data de Conclusão do Relatório: 05/set/2020</v>
      </c>
      <c r="D6" s="42" t="s">
        <v>2732</v>
      </c>
      <c r="E6" s="38"/>
    </row>
    <row r="7" spans="2:6" ht="15.75" thickBot="1" x14ac:dyDescent="0.3">
      <c r="B7" s="41">
        <v>0.47361111111111115</v>
      </c>
      <c r="C7" s="36" t="str">
        <f>"Horário de Conclusão do Relatório: "&amp;TEXT(B7, "HH:MM")</f>
        <v>Horário de Conclusão do Relatório: 11:22</v>
      </c>
      <c r="D7" s="42" t="s">
        <v>2733</v>
      </c>
    </row>
    <row r="8" spans="2:6" x14ac:dyDescent="0.25">
      <c r="B8"/>
      <c r="C8" s="47" t="s">
        <v>2735</v>
      </c>
    </row>
    <row r="9" spans="2:6" x14ac:dyDescent="0.25">
      <c r="E9" s="39"/>
    </row>
  </sheetData>
  <mergeCells count="1">
    <mergeCell ref="B2:C2"/>
  </mergeCells>
  <hyperlinks>
    <hyperlink ref="D2" r:id="rId1" xr:uid="{63E44E09-5EA4-4525-A3B6-81BC7CB29DC7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87B9-6DB6-4084-8B69-89B20E88DC11}">
  <dimension ref="A1:AA250"/>
  <sheetViews>
    <sheetView showGridLines="0" tabSelected="1" topLeftCell="I4" zoomScale="115" zoomScaleNormal="115" workbookViewId="0">
      <selection activeCell="M7" sqref="M7"/>
    </sheetView>
  </sheetViews>
  <sheetFormatPr defaultRowHeight="15" x14ac:dyDescent="0.25"/>
  <cols>
    <col min="1" max="1" width="16" bestFit="1" customWidth="1"/>
    <col min="2" max="2" width="38.42578125" bestFit="1" customWidth="1"/>
    <col min="4" max="4" width="12.5703125" bestFit="1" customWidth="1"/>
    <col min="5" max="5" width="19.28515625" bestFit="1" customWidth="1"/>
    <col min="6" max="6" width="19.28515625" style="31" customWidth="1"/>
    <col min="7" max="7" width="19.28515625" customWidth="1"/>
    <col min="8" max="8" width="29.42578125" style="31" bestFit="1" customWidth="1"/>
    <col min="9" max="9" width="19.28515625" customWidth="1"/>
    <col min="10" max="10" width="19.28515625" style="31" customWidth="1"/>
    <col min="11" max="11" width="19.28515625" customWidth="1"/>
    <col min="12" max="12" width="19.28515625" style="31" customWidth="1"/>
    <col min="13" max="13" width="19.28515625" customWidth="1"/>
    <col min="15" max="15" width="34.85546875" bestFit="1" customWidth="1"/>
    <col min="16" max="16" width="34.85546875" customWidth="1"/>
    <col min="17" max="17" width="6.5703125" bestFit="1" customWidth="1"/>
    <col min="18" max="18" width="28.140625" bestFit="1" customWidth="1"/>
    <col min="19" max="19" width="8.5703125" bestFit="1" customWidth="1"/>
    <col min="20" max="20" width="12.5703125" bestFit="1" customWidth="1"/>
    <col min="21" max="21" width="12.7109375" bestFit="1" customWidth="1"/>
    <col min="23" max="24" width="11.5703125" bestFit="1" customWidth="1"/>
    <col min="27" max="27" width="13.140625" bestFit="1" customWidth="1"/>
  </cols>
  <sheetData>
    <row r="1" spans="1:27" x14ac:dyDescent="0.25">
      <c r="A1" s="28" t="s">
        <v>487</v>
      </c>
      <c r="B1" s="28" t="s">
        <v>488</v>
      </c>
      <c r="C1" s="28" t="s">
        <v>490</v>
      </c>
      <c r="D1" s="28" t="s">
        <v>489</v>
      </c>
      <c r="E1" s="28" t="s">
        <v>94</v>
      </c>
      <c r="F1" s="28" t="s">
        <v>2736</v>
      </c>
      <c r="G1" s="28" t="s">
        <v>491</v>
      </c>
      <c r="H1" s="28" t="s">
        <v>2737</v>
      </c>
      <c r="I1" s="28" t="s">
        <v>492</v>
      </c>
      <c r="J1" s="28" t="s">
        <v>2738</v>
      </c>
      <c r="K1" s="28" t="s">
        <v>493</v>
      </c>
      <c r="L1" s="28" t="s">
        <v>2739</v>
      </c>
      <c r="N1" s="54" t="s">
        <v>205</v>
      </c>
      <c r="O1" s="54"/>
      <c r="Q1" s="54" t="s">
        <v>208</v>
      </c>
      <c r="R1" s="54"/>
      <c r="S1" s="54"/>
      <c r="T1" s="54"/>
      <c r="U1" s="54"/>
      <c r="W1" s="54" t="s">
        <v>211</v>
      </c>
      <c r="X1" s="54"/>
      <c r="Z1" s="54" t="s">
        <v>225</v>
      </c>
      <c r="AA1" s="54"/>
    </row>
    <row r="2" spans="1:27" x14ac:dyDescent="0.25">
      <c r="A2" s="15">
        <v>1</v>
      </c>
      <c r="B2" s="15" t="s">
        <v>241</v>
      </c>
      <c r="C2" s="15">
        <v>2</v>
      </c>
      <c r="D2" s="26">
        <v>4000</v>
      </c>
      <c r="E2" s="14" t="str">
        <f>LEFT(B2, 5)</f>
        <v>VA041</v>
      </c>
      <c r="F2" s="14" t="str">
        <f>VLOOKUP(E2, $N$2:$O$54, 2, 0)</f>
        <v>Raphael Kurtz</v>
      </c>
      <c r="G2" s="14" t="str">
        <f>MID(B2, 6, 4)</f>
        <v>1008</v>
      </c>
      <c r="H2" s="14" t="str">
        <f>VLOOKUP(G2,  $Q:$U, 2, 0)</f>
        <v>Smart TV LED Full HD 55' - Preto</v>
      </c>
      <c r="I2" s="14" t="str">
        <f>MID(B2, 10, 3)</f>
        <v>TLV</v>
      </c>
      <c r="J2" s="14" t="str">
        <f>VLOOKUP(I2, $W:$X, 2, 0)</f>
        <v>Televisão</v>
      </c>
      <c r="K2" s="14" t="str">
        <f>RIGHT(B2, 4)</f>
        <v>UD06</v>
      </c>
      <c r="L2" s="14" t="str">
        <f>VLOOKUP(K2, $Z:$AA, 2, 0)</f>
        <v>Recife</v>
      </c>
      <c r="N2" s="15" t="s">
        <v>207</v>
      </c>
      <c r="O2" s="15" t="s">
        <v>206</v>
      </c>
      <c r="Q2" s="15" t="s">
        <v>3</v>
      </c>
      <c r="R2" s="15" t="s">
        <v>206</v>
      </c>
      <c r="S2" s="15" t="s">
        <v>4</v>
      </c>
      <c r="T2" s="25" t="s">
        <v>209</v>
      </c>
      <c r="U2" s="25" t="s">
        <v>210</v>
      </c>
      <c r="W2" s="27" t="s">
        <v>3</v>
      </c>
      <c r="X2" s="25" t="s">
        <v>227</v>
      </c>
      <c r="Z2" s="14" t="s">
        <v>3</v>
      </c>
      <c r="AA2" s="14" t="s">
        <v>226</v>
      </c>
    </row>
    <row r="3" spans="1:27" x14ac:dyDescent="0.25">
      <c r="A3" s="15">
        <v>2</v>
      </c>
      <c r="B3" s="15" t="s">
        <v>242</v>
      </c>
      <c r="C3" s="15">
        <v>1</v>
      </c>
      <c r="D3" s="26">
        <v>1400</v>
      </c>
      <c r="E3" s="14" t="str">
        <f>LEFT(B3, 5)</f>
        <v>VA026</v>
      </c>
      <c r="F3" s="14" t="str">
        <f>VLOOKUP(E3, $N$2:$O$54, 2, 0)</f>
        <v>Bruna Ramos</v>
      </c>
      <c r="G3" s="14" t="str">
        <f t="shared" ref="G3:G66" si="0">MID(B3, 6, 4)</f>
        <v>1006</v>
      </c>
      <c r="H3" s="14" t="str">
        <f t="shared" ref="H3:H66" si="1">VLOOKUP(G3,  $Q:$U, 2, 0)</f>
        <v>TV LED 32' - Preto</v>
      </c>
      <c r="I3" s="14" t="str">
        <f t="shared" ref="I3:I66" si="2">MID(B3, 10, 3)</f>
        <v>TLV</v>
      </c>
      <c r="J3" s="14" t="str">
        <f t="shared" ref="J3:J66" si="3">VLOOKUP(I3, $W:$X, 2, 0)</f>
        <v>Televisão</v>
      </c>
      <c r="K3" s="14" t="str">
        <f t="shared" ref="K3:K66" si="4">RIGHT(B3, 4)</f>
        <v>UD13</v>
      </c>
      <c r="L3" s="14" t="str">
        <f t="shared" ref="L3:L66" si="5">VLOOKUP(K3, $Z:$AA, 2, 0)</f>
        <v>Campinas</v>
      </c>
      <c r="N3" s="15" t="s">
        <v>147</v>
      </c>
      <c r="O3" s="15" t="s">
        <v>95</v>
      </c>
      <c r="Q3" s="15" t="s">
        <v>29</v>
      </c>
      <c r="R3" s="15" t="s">
        <v>53</v>
      </c>
      <c r="S3" s="15" t="s">
        <v>54</v>
      </c>
      <c r="T3" s="26">
        <v>2600</v>
      </c>
      <c r="U3" s="26">
        <v>1700</v>
      </c>
      <c r="W3" s="14" t="s">
        <v>199</v>
      </c>
      <c r="X3" s="14" t="s">
        <v>55</v>
      </c>
      <c r="Z3" s="14" t="s">
        <v>228</v>
      </c>
      <c r="AA3" s="14" t="s">
        <v>212</v>
      </c>
    </row>
    <row r="4" spans="1:27" x14ac:dyDescent="0.25">
      <c r="A4" s="15">
        <v>3</v>
      </c>
      <c r="B4" s="15" t="s">
        <v>243</v>
      </c>
      <c r="C4" s="15">
        <v>1</v>
      </c>
      <c r="D4" s="26">
        <v>2500</v>
      </c>
      <c r="E4" s="14" t="str">
        <f t="shared" ref="E4:E66" si="6">LEFT(B4, 5)</f>
        <v>VA024</v>
      </c>
      <c r="F4" s="14" t="str">
        <f>VLOOKUP(E4, $N$2:$O$54, 2, 0)</f>
        <v>Natalia Guedes</v>
      </c>
      <c r="G4" s="14" t="str">
        <f t="shared" si="0"/>
        <v>1002</v>
      </c>
      <c r="H4" s="14" t="str">
        <f t="shared" si="1"/>
        <v>iPhone 7 - Dourado</v>
      </c>
      <c r="I4" s="14" t="str">
        <f t="shared" si="2"/>
        <v>CLR</v>
      </c>
      <c r="J4" s="14" t="str">
        <f t="shared" si="3"/>
        <v>Celular</v>
      </c>
      <c r="K4" s="14" t="str">
        <f t="shared" si="4"/>
        <v>UD13</v>
      </c>
      <c r="L4" s="14" t="str">
        <f t="shared" si="5"/>
        <v>Campinas</v>
      </c>
      <c r="N4" s="15" t="s">
        <v>148</v>
      </c>
      <c r="O4" s="15" t="s">
        <v>96</v>
      </c>
      <c r="Q4" s="15" t="s">
        <v>30</v>
      </c>
      <c r="R4" s="15" t="s">
        <v>56</v>
      </c>
      <c r="S4" s="15" t="s">
        <v>57</v>
      </c>
      <c r="T4" s="26">
        <v>2500</v>
      </c>
      <c r="U4" s="26">
        <v>1500</v>
      </c>
      <c r="W4" s="14" t="s">
        <v>200</v>
      </c>
      <c r="X4" s="14" t="s">
        <v>58</v>
      </c>
      <c r="Z4" s="14" t="s">
        <v>229</v>
      </c>
      <c r="AA4" s="14" t="s">
        <v>213</v>
      </c>
    </row>
    <row r="5" spans="1:27" x14ac:dyDescent="0.25">
      <c r="A5" s="15">
        <v>4</v>
      </c>
      <c r="B5" s="15" t="s">
        <v>244</v>
      </c>
      <c r="C5" s="15">
        <v>5</v>
      </c>
      <c r="D5" s="26">
        <v>7750</v>
      </c>
      <c r="E5" s="14" t="str">
        <f t="shared" si="6"/>
        <v>VA032</v>
      </c>
      <c r="F5" s="14" t="str">
        <f>VLOOKUP(E5, $N$2:$O$54, 2, 0)</f>
        <v>Isabela Resende</v>
      </c>
      <c r="G5" s="14" t="str">
        <f t="shared" si="0"/>
        <v>1013</v>
      </c>
      <c r="H5" s="14" t="str">
        <f t="shared" si="1"/>
        <v>Câmera Coolpix L340 - Cinza</v>
      </c>
      <c r="I5" s="14" t="str">
        <f t="shared" si="2"/>
        <v>CAM</v>
      </c>
      <c r="J5" s="14" t="str">
        <f t="shared" si="3"/>
        <v>Câmera</v>
      </c>
      <c r="K5" s="14" t="str">
        <f t="shared" si="4"/>
        <v>UD10</v>
      </c>
      <c r="L5" s="14" t="str">
        <f t="shared" si="5"/>
        <v>Niterói</v>
      </c>
      <c r="N5" s="15" t="s">
        <v>149</v>
      </c>
      <c r="O5" s="15" t="s">
        <v>97</v>
      </c>
      <c r="Q5" s="15" t="s">
        <v>31</v>
      </c>
      <c r="R5" s="15" t="s">
        <v>59</v>
      </c>
      <c r="S5" s="15" t="s">
        <v>60</v>
      </c>
      <c r="T5" s="26">
        <v>4500</v>
      </c>
      <c r="U5" s="26">
        <v>2800</v>
      </c>
      <c r="W5" s="14" t="s">
        <v>201</v>
      </c>
      <c r="X5" s="14" t="s">
        <v>62</v>
      </c>
      <c r="Z5" s="14" t="s">
        <v>230</v>
      </c>
      <c r="AA5" s="14" t="s">
        <v>214</v>
      </c>
    </row>
    <row r="6" spans="1:27" x14ac:dyDescent="0.25">
      <c r="A6" s="15">
        <v>5</v>
      </c>
      <c r="B6" s="15" t="s">
        <v>245</v>
      </c>
      <c r="C6" s="15">
        <v>3</v>
      </c>
      <c r="D6" s="26">
        <v>4500</v>
      </c>
      <c r="E6" s="14" t="str">
        <f t="shared" si="6"/>
        <v>VA032</v>
      </c>
      <c r="F6" s="14" t="str">
        <f>VLOOKUP(E6, $N$2:$O$54, 2, 0)</f>
        <v>Isabela Resende</v>
      </c>
      <c r="G6" s="14" t="str">
        <f t="shared" si="0"/>
        <v>1020</v>
      </c>
      <c r="H6" s="14" t="str">
        <f t="shared" si="1"/>
        <v>Moto Z - Vermelho</v>
      </c>
      <c r="I6" s="14" t="str">
        <f t="shared" si="2"/>
        <v>CLR</v>
      </c>
      <c r="J6" s="14" t="str">
        <f t="shared" si="3"/>
        <v>Celular</v>
      </c>
      <c r="K6" s="14" t="str">
        <f t="shared" si="4"/>
        <v>UD13</v>
      </c>
      <c r="L6" s="14" t="str">
        <f t="shared" si="5"/>
        <v>Campinas</v>
      </c>
      <c r="N6" s="15" t="s">
        <v>150</v>
      </c>
      <c r="O6" s="15" t="s">
        <v>98</v>
      </c>
      <c r="Q6" s="15" t="s">
        <v>32</v>
      </c>
      <c r="R6" s="15" t="s">
        <v>61</v>
      </c>
      <c r="S6" s="15" t="s">
        <v>57</v>
      </c>
      <c r="T6" s="26">
        <v>1750</v>
      </c>
      <c r="U6" s="26">
        <v>900</v>
      </c>
      <c r="W6" s="14" t="s">
        <v>202</v>
      </c>
      <c r="X6" s="14" t="s">
        <v>65</v>
      </c>
      <c r="Z6" s="14" t="s">
        <v>231</v>
      </c>
      <c r="AA6" s="14" t="s">
        <v>215</v>
      </c>
    </row>
    <row r="7" spans="1:27" x14ac:dyDescent="0.25">
      <c r="A7" s="15">
        <v>6</v>
      </c>
      <c r="B7" s="15" t="s">
        <v>246</v>
      </c>
      <c r="C7" s="15">
        <v>2</v>
      </c>
      <c r="D7" s="26">
        <v>3100</v>
      </c>
      <c r="E7" s="14" t="str">
        <f t="shared" si="6"/>
        <v>VA033</v>
      </c>
      <c r="F7" s="14" t="str">
        <f>VLOOKUP(E7, $N$2:$O$54, 2, 0)</f>
        <v>Raíza Lopes</v>
      </c>
      <c r="G7" s="14" t="str">
        <f t="shared" si="0"/>
        <v>1013</v>
      </c>
      <c r="H7" s="14" t="str">
        <f t="shared" si="1"/>
        <v>Câmera Coolpix L340 - Cinza</v>
      </c>
      <c r="I7" s="14" t="str">
        <f t="shared" si="2"/>
        <v>CAM</v>
      </c>
      <c r="J7" s="14" t="str">
        <f t="shared" si="3"/>
        <v>Câmera</v>
      </c>
      <c r="K7" s="14" t="str">
        <f t="shared" si="4"/>
        <v>UD01</v>
      </c>
      <c r="L7" s="14" t="str">
        <f t="shared" si="5"/>
        <v>Rio de Janeiro</v>
      </c>
      <c r="N7" s="15" t="s">
        <v>151</v>
      </c>
      <c r="O7" s="15" t="s">
        <v>99</v>
      </c>
      <c r="Q7" s="15" t="s">
        <v>33</v>
      </c>
      <c r="R7" s="15" t="s">
        <v>63</v>
      </c>
      <c r="S7" s="15" t="s">
        <v>64</v>
      </c>
      <c r="T7" s="26">
        <v>1500</v>
      </c>
      <c r="U7" s="26">
        <v>850</v>
      </c>
      <c r="W7" s="14" t="s">
        <v>203</v>
      </c>
      <c r="X7" s="14" t="s">
        <v>69</v>
      </c>
      <c r="Z7" s="14" t="s">
        <v>232</v>
      </c>
      <c r="AA7" s="14" t="s">
        <v>216</v>
      </c>
    </row>
    <row r="8" spans="1:27" x14ac:dyDescent="0.25">
      <c r="A8" s="15">
        <v>7</v>
      </c>
      <c r="B8" s="15" t="s">
        <v>247</v>
      </c>
      <c r="C8" s="15">
        <v>1</v>
      </c>
      <c r="D8" s="26">
        <v>1200</v>
      </c>
      <c r="E8" s="14" t="str">
        <f t="shared" si="6"/>
        <v>VA050</v>
      </c>
      <c r="F8" s="14" t="str">
        <f>VLOOKUP(E8, $N$2:$O$54, 2, 0)</f>
        <v>Tayla Lima</v>
      </c>
      <c r="G8" s="14" t="str">
        <f t="shared" si="0"/>
        <v>1018</v>
      </c>
      <c r="H8" s="14" t="str">
        <f t="shared" si="1"/>
        <v>Smart Watch MI - Amarelo</v>
      </c>
      <c r="I8" s="14" t="str">
        <f t="shared" si="2"/>
        <v>SMW</v>
      </c>
      <c r="J8" s="14" t="str">
        <f t="shared" si="3"/>
        <v>Smart Watch</v>
      </c>
      <c r="K8" s="14" t="str">
        <f t="shared" si="4"/>
        <v>UD12</v>
      </c>
      <c r="L8" s="14" t="str">
        <f t="shared" si="5"/>
        <v>Guarulhos</v>
      </c>
      <c r="N8" s="15" t="s">
        <v>152</v>
      </c>
      <c r="O8" s="15" t="s">
        <v>100</v>
      </c>
      <c r="Q8" s="15" t="s">
        <v>34</v>
      </c>
      <c r="R8" s="15" t="s">
        <v>66</v>
      </c>
      <c r="S8" s="15" t="s">
        <v>60</v>
      </c>
      <c r="T8" s="26">
        <v>1400</v>
      </c>
      <c r="U8" s="26">
        <v>900</v>
      </c>
      <c r="W8" s="14" t="s">
        <v>204</v>
      </c>
      <c r="X8" s="14" t="s">
        <v>76</v>
      </c>
      <c r="Z8" s="14" t="s">
        <v>233</v>
      </c>
      <c r="AA8" s="14" t="s">
        <v>217</v>
      </c>
    </row>
    <row r="9" spans="1:27" x14ac:dyDescent="0.25">
      <c r="A9" s="15">
        <v>8</v>
      </c>
      <c r="B9" s="15" t="s">
        <v>248</v>
      </c>
      <c r="C9" s="15">
        <v>1</v>
      </c>
      <c r="D9" s="26">
        <v>2500</v>
      </c>
      <c r="E9" s="14" t="str">
        <f t="shared" si="6"/>
        <v>VA052</v>
      </c>
      <c r="F9" s="14" t="str">
        <f>VLOOKUP(E9, $N$2:$O$54, 2, 0)</f>
        <v>Beatriz Silva</v>
      </c>
      <c r="G9" s="14" t="str">
        <f t="shared" si="0"/>
        <v>1002</v>
      </c>
      <c r="H9" s="14" t="str">
        <f t="shared" si="1"/>
        <v>iPhone 7 - Dourado</v>
      </c>
      <c r="I9" s="14" t="str">
        <f t="shared" si="2"/>
        <v>CLR</v>
      </c>
      <c r="J9" s="14" t="str">
        <f t="shared" si="3"/>
        <v>Celular</v>
      </c>
      <c r="K9" s="14" t="str">
        <f t="shared" si="4"/>
        <v>UD01</v>
      </c>
      <c r="L9" s="14" t="str">
        <f t="shared" si="5"/>
        <v>Rio de Janeiro</v>
      </c>
      <c r="N9" s="15" t="s">
        <v>153</v>
      </c>
      <c r="O9" s="15" t="s">
        <v>101</v>
      </c>
      <c r="Q9" s="15" t="s">
        <v>35</v>
      </c>
      <c r="R9" s="15" t="s">
        <v>67</v>
      </c>
      <c r="S9" s="15" t="s">
        <v>68</v>
      </c>
      <c r="T9" s="26">
        <v>2300</v>
      </c>
      <c r="U9" s="26">
        <v>1200</v>
      </c>
      <c r="Z9" s="14" t="s">
        <v>234</v>
      </c>
      <c r="AA9" s="14" t="s">
        <v>218</v>
      </c>
    </row>
    <row r="10" spans="1:27" x14ac:dyDescent="0.25">
      <c r="A10" s="15">
        <v>9</v>
      </c>
      <c r="B10" s="15" t="s">
        <v>249</v>
      </c>
      <c r="C10" s="15">
        <v>2</v>
      </c>
      <c r="D10" s="26">
        <v>10400</v>
      </c>
      <c r="E10" s="14" t="str">
        <f t="shared" si="6"/>
        <v>VA032</v>
      </c>
      <c r="F10" s="14" t="str">
        <f>VLOOKUP(E10, $N$2:$O$54, 2, 0)</f>
        <v>Isabela Resende</v>
      </c>
      <c r="G10" s="14" t="str">
        <f t="shared" si="0"/>
        <v>1017</v>
      </c>
      <c r="H10" s="14" t="str">
        <f t="shared" si="1"/>
        <v>Smart TV 75' 4K - Preto</v>
      </c>
      <c r="I10" s="14" t="str">
        <f t="shared" si="2"/>
        <v>TLV</v>
      </c>
      <c r="J10" s="14" t="str">
        <f t="shared" si="3"/>
        <v>Televisão</v>
      </c>
      <c r="K10" s="14" t="str">
        <f t="shared" si="4"/>
        <v>UD12</v>
      </c>
      <c r="L10" s="14" t="str">
        <f t="shared" si="5"/>
        <v>Guarulhos</v>
      </c>
      <c r="N10" s="15" t="s">
        <v>154</v>
      </c>
      <c r="O10" s="15" t="s">
        <v>102</v>
      </c>
      <c r="Q10" s="15" t="s">
        <v>36</v>
      </c>
      <c r="R10" s="15" t="s">
        <v>70</v>
      </c>
      <c r="S10" s="15" t="s">
        <v>71</v>
      </c>
      <c r="T10" s="26">
        <v>2000</v>
      </c>
      <c r="U10" s="26">
        <v>1250</v>
      </c>
      <c r="Z10" s="14" t="s">
        <v>235</v>
      </c>
      <c r="AA10" s="14" t="s">
        <v>219</v>
      </c>
    </row>
    <row r="11" spans="1:27" x14ac:dyDescent="0.25">
      <c r="A11" s="15">
        <v>10</v>
      </c>
      <c r="B11" s="15" t="s">
        <v>250</v>
      </c>
      <c r="C11" s="15">
        <v>4</v>
      </c>
      <c r="D11" s="26">
        <v>7000</v>
      </c>
      <c r="E11" s="14" t="str">
        <f t="shared" si="6"/>
        <v>VA045</v>
      </c>
      <c r="F11" s="14" t="str">
        <f>VLOOKUP(E11, $N$2:$O$54, 2, 0)</f>
        <v>Jéssica Resinente</v>
      </c>
      <c r="G11" s="14" t="str">
        <f t="shared" si="0"/>
        <v>1004</v>
      </c>
      <c r="H11" s="14" t="str">
        <f t="shared" si="1"/>
        <v>Apple Watch - Preto</v>
      </c>
      <c r="I11" s="14" t="str">
        <f t="shared" si="2"/>
        <v>SMW</v>
      </c>
      <c r="J11" s="14" t="str">
        <f t="shared" si="3"/>
        <v>Smart Watch</v>
      </c>
      <c r="K11" s="14" t="str">
        <f t="shared" si="4"/>
        <v>UD13</v>
      </c>
      <c r="L11" s="14" t="str">
        <f t="shared" si="5"/>
        <v>Campinas</v>
      </c>
      <c r="N11" s="15" t="s">
        <v>155</v>
      </c>
      <c r="O11" s="15" t="s">
        <v>103</v>
      </c>
      <c r="Q11" s="15" t="s">
        <v>37</v>
      </c>
      <c r="R11" s="15" t="s">
        <v>72</v>
      </c>
      <c r="S11" s="15" t="s">
        <v>73</v>
      </c>
      <c r="T11" s="26">
        <v>1400</v>
      </c>
      <c r="U11" s="26">
        <v>750</v>
      </c>
      <c r="Z11" s="14" t="s">
        <v>236</v>
      </c>
      <c r="AA11" s="14" t="s">
        <v>220</v>
      </c>
    </row>
    <row r="12" spans="1:27" x14ac:dyDescent="0.25">
      <c r="A12" s="15">
        <v>11</v>
      </c>
      <c r="B12" s="15" t="s">
        <v>251</v>
      </c>
      <c r="C12" s="15">
        <v>4</v>
      </c>
      <c r="D12" s="26">
        <v>6000</v>
      </c>
      <c r="E12" s="14" t="str">
        <f t="shared" si="6"/>
        <v>VA006</v>
      </c>
      <c r="F12" s="14" t="str">
        <f>VLOOKUP(E12, $N$2:$O$54, 2, 0)</f>
        <v>Ana Silva</v>
      </c>
      <c r="G12" s="14" t="str">
        <f t="shared" si="0"/>
        <v>1020</v>
      </c>
      <c r="H12" s="14" t="str">
        <f t="shared" si="1"/>
        <v>Moto Z - Vermelho</v>
      </c>
      <c r="I12" s="14" t="str">
        <f t="shared" si="2"/>
        <v>CLR</v>
      </c>
      <c r="J12" s="14" t="str">
        <f t="shared" si="3"/>
        <v>Celular</v>
      </c>
      <c r="K12" s="14" t="str">
        <f t="shared" si="4"/>
        <v>UD02</v>
      </c>
      <c r="L12" s="14" t="str">
        <f t="shared" si="5"/>
        <v>Belo Horizonte</v>
      </c>
      <c r="N12" s="15" t="s">
        <v>156</v>
      </c>
      <c r="O12" s="15" t="s">
        <v>104</v>
      </c>
      <c r="Q12" s="15" t="s">
        <v>38</v>
      </c>
      <c r="R12" s="15" t="s">
        <v>74</v>
      </c>
      <c r="S12" s="15" t="s">
        <v>57</v>
      </c>
      <c r="T12" s="26">
        <v>1900</v>
      </c>
      <c r="U12" s="26">
        <v>1150</v>
      </c>
      <c r="Z12" s="14" t="s">
        <v>237</v>
      </c>
      <c r="AA12" s="14" t="s">
        <v>221</v>
      </c>
    </row>
    <row r="13" spans="1:27" x14ac:dyDescent="0.25">
      <c r="A13" s="15">
        <v>12</v>
      </c>
      <c r="B13" s="15" t="s">
        <v>252</v>
      </c>
      <c r="C13" s="15">
        <v>1</v>
      </c>
      <c r="D13" s="26">
        <v>1900</v>
      </c>
      <c r="E13" s="14" t="str">
        <f t="shared" si="6"/>
        <v>VA019</v>
      </c>
      <c r="F13" s="14" t="str">
        <f>VLOOKUP(E13, $N$2:$O$54, 2, 0)</f>
        <v>Victor Ferreira</v>
      </c>
      <c r="G13" s="14" t="str">
        <f t="shared" si="0"/>
        <v>1010</v>
      </c>
      <c r="H13" s="14" t="str">
        <f t="shared" si="1"/>
        <v>iPhone 6S - Rosa</v>
      </c>
      <c r="I13" s="14" t="str">
        <f t="shared" si="2"/>
        <v>CLR</v>
      </c>
      <c r="J13" s="14" t="str">
        <f t="shared" si="3"/>
        <v>Celular</v>
      </c>
      <c r="K13" s="14" t="str">
        <f t="shared" si="4"/>
        <v>UD06</v>
      </c>
      <c r="L13" s="14" t="str">
        <f t="shared" si="5"/>
        <v>Recife</v>
      </c>
      <c r="N13" s="15" t="s">
        <v>157</v>
      </c>
      <c r="O13" s="15" t="s">
        <v>105</v>
      </c>
      <c r="Q13" s="15" t="s">
        <v>39</v>
      </c>
      <c r="R13" s="15" t="s">
        <v>75</v>
      </c>
      <c r="S13" s="15" t="s">
        <v>60</v>
      </c>
      <c r="T13" s="26">
        <v>2000</v>
      </c>
      <c r="U13" s="26">
        <v>1100</v>
      </c>
      <c r="Z13" s="14" t="s">
        <v>238</v>
      </c>
      <c r="AA13" s="14" t="s">
        <v>222</v>
      </c>
    </row>
    <row r="14" spans="1:27" x14ac:dyDescent="0.25">
      <c r="A14" s="15">
        <v>13</v>
      </c>
      <c r="B14" s="15" t="s">
        <v>253</v>
      </c>
      <c r="C14" s="15">
        <v>5</v>
      </c>
      <c r="D14" s="26">
        <v>7500</v>
      </c>
      <c r="E14" s="14" t="str">
        <f t="shared" si="6"/>
        <v>VA049</v>
      </c>
      <c r="F14" s="14" t="str">
        <f>VLOOKUP(E14, $N$2:$O$54, 2, 0)</f>
        <v>Juliana Souza</v>
      </c>
      <c r="G14" s="14" t="str">
        <f t="shared" si="0"/>
        <v>1005</v>
      </c>
      <c r="H14" s="14" t="str">
        <f t="shared" si="1"/>
        <v>Câmera Digital Rebel T6 - Preto</v>
      </c>
      <c r="I14" s="14" t="str">
        <f t="shared" si="2"/>
        <v>CAM</v>
      </c>
      <c r="J14" s="14" t="str">
        <f t="shared" si="3"/>
        <v>Câmera</v>
      </c>
      <c r="K14" s="14" t="str">
        <f t="shared" si="4"/>
        <v>UD02</v>
      </c>
      <c r="L14" s="14" t="str">
        <f t="shared" si="5"/>
        <v>Belo Horizonte</v>
      </c>
      <c r="N14" s="15" t="s">
        <v>158</v>
      </c>
      <c r="O14" s="15" t="s">
        <v>106</v>
      </c>
      <c r="Q14" s="15" t="s">
        <v>40</v>
      </c>
      <c r="R14" s="15" t="s">
        <v>77</v>
      </c>
      <c r="S14" s="15" t="s">
        <v>68</v>
      </c>
      <c r="T14" s="26">
        <v>5500</v>
      </c>
      <c r="U14" s="26">
        <v>3200</v>
      </c>
      <c r="Z14" s="14" t="s">
        <v>239</v>
      </c>
      <c r="AA14" s="14" t="s">
        <v>223</v>
      </c>
    </row>
    <row r="15" spans="1:27" x14ac:dyDescent="0.25">
      <c r="A15" s="15">
        <v>14</v>
      </c>
      <c r="B15" s="15" t="s">
        <v>254</v>
      </c>
      <c r="C15" s="15">
        <v>5</v>
      </c>
      <c r="D15" s="26">
        <v>11500</v>
      </c>
      <c r="E15" s="14" t="str">
        <f t="shared" si="6"/>
        <v>VA044</v>
      </c>
      <c r="F15" s="14" t="str">
        <f>VLOOKUP(E15, $N$2:$O$54, 2, 0)</f>
        <v>Juliana Correa</v>
      </c>
      <c r="G15" s="14" t="str">
        <f t="shared" si="0"/>
        <v>1007</v>
      </c>
      <c r="H15" s="14" t="str">
        <f t="shared" si="1"/>
        <v>Inspiron 15 - Prata</v>
      </c>
      <c r="I15" s="14" t="str">
        <f t="shared" si="2"/>
        <v>NTB</v>
      </c>
      <c r="J15" s="14" t="str">
        <f t="shared" si="3"/>
        <v>Notebook</v>
      </c>
      <c r="K15" s="14" t="str">
        <f t="shared" si="4"/>
        <v>UD06</v>
      </c>
      <c r="L15" s="14" t="str">
        <f t="shared" si="5"/>
        <v>Recife</v>
      </c>
      <c r="N15" s="15" t="s">
        <v>159</v>
      </c>
      <c r="O15" s="15" t="s">
        <v>107</v>
      </c>
      <c r="Q15" s="15" t="s">
        <v>41</v>
      </c>
      <c r="R15" s="15" t="s">
        <v>78</v>
      </c>
      <c r="S15" s="15" t="s">
        <v>79</v>
      </c>
      <c r="T15" s="26">
        <v>1550</v>
      </c>
      <c r="U15" s="26">
        <v>700</v>
      </c>
      <c r="Z15" s="14" t="s">
        <v>240</v>
      </c>
      <c r="AA15" s="14" t="s">
        <v>224</v>
      </c>
    </row>
    <row r="16" spans="1:27" x14ac:dyDescent="0.25">
      <c r="A16" s="15">
        <v>15</v>
      </c>
      <c r="B16" s="15" t="s">
        <v>255</v>
      </c>
      <c r="C16" s="15">
        <v>1</v>
      </c>
      <c r="D16" s="26">
        <v>1400</v>
      </c>
      <c r="E16" s="14" t="str">
        <f t="shared" si="6"/>
        <v>VA014</v>
      </c>
      <c r="F16" s="14" t="str">
        <f>VLOOKUP(E16, $N$2:$O$54, 2, 0)</f>
        <v>João Aires</v>
      </c>
      <c r="G16" s="14" t="str">
        <f t="shared" si="0"/>
        <v>1006</v>
      </c>
      <c r="H16" s="14" t="str">
        <f t="shared" si="1"/>
        <v>TV LED 32' - Preto</v>
      </c>
      <c r="I16" s="14" t="str">
        <f t="shared" si="2"/>
        <v>TLV</v>
      </c>
      <c r="J16" s="14" t="str">
        <f t="shared" si="3"/>
        <v>Televisão</v>
      </c>
      <c r="K16" s="14" t="str">
        <f t="shared" si="4"/>
        <v>UD04</v>
      </c>
      <c r="L16" s="14" t="str">
        <f t="shared" si="5"/>
        <v>Curitiba</v>
      </c>
      <c r="N16" s="15" t="s">
        <v>160</v>
      </c>
      <c r="O16" s="15" t="s">
        <v>108</v>
      </c>
      <c r="Q16" s="15" t="s">
        <v>42</v>
      </c>
      <c r="R16" s="15" t="s">
        <v>80</v>
      </c>
      <c r="S16" s="15" t="s">
        <v>60</v>
      </c>
      <c r="T16" s="26">
        <v>1100</v>
      </c>
      <c r="U16" s="26">
        <v>550</v>
      </c>
    </row>
    <row r="17" spans="1:21" x14ac:dyDescent="0.25">
      <c r="A17" s="15">
        <v>16</v>
      </c>
      <c r="B17" s="15" t="s">
        <v>256</v>
      </c>
      <c r="C17" s="15">
        <v>5</v>
      </c>
      <c r="D17" s="26">
        <v>9500</v>
      </c>
      <c r="E17" s="14" t="str">
        <f t="shared" si="6"/>
        <v>VA009</v>
      </c>
      <c r="F17" s="14" t="str">
        <f>VLOOKUP(E17, $N$2:$O$54, 2, 0)</f>
        <v>Chan Santos</v>
      </c>
      <c r="G17" s="14" t="str">
        <f t="shared" si="0"/>
        <v>1010</v>
      </c>
      <c r="H17" s="14" t="str">
        <f t="shared" si="1"/>
        <v>iPhone 6S - Rosa</v>
      </c>
      <c r="I17" s="14" t="str">
        <f t="shared" si="2"/>
        <v>CLR</v>
      </c>
      <c r="J17" s="14" t="str">
        <f t="shared" si="3"/>
        <v>Celular</v>
      </c>
      <c r="K17" s="14" t="str">
        <f t="shared" si="4"/>
        <v>UD06</v>
      </c>
      <c r="L17" s="14" t="str">
        <f t="shared" si="5"/>
        <v>Recife</v>
      </c>
      <c r="N17" s="15" t="s">
        <v>161</v>
      </c>
      <c r="O17" s="15" t="s">
        <v>109</v>
      </c>
      <c r="Q17" s="15" t="s">
        <v>43</v>
      </c>
      <c r="R17" s="15" t="s">
        <v>81</v>
      </c>
      <c r="S17" s="15" t="s">
        <v>82</v>
      </c>
      <c r="T17" s="26">
        <v>700</v>
      </c>
      <c r="U17" s="26">
        <v>300</v>
      </c>
    </row>
    <row r="18" spans="1:21" x14ac:dyDescent="0.25">
      <c r="A18" s="15">
        <v>17</v>
      </c>
      <c r="B18" s="15" t="s">
        <v>257</v>
      </c>
      <c r="C18" s="15">
        <v>1</v>
      </c>
      <c r="D18" s="26">
        <v>750</v>
      </c>
      <c r="E18" s="14" t="str">
        <f t="shared" si="6"/>
        <v>VA050</v>
      </c>
      <c r="F18" s="14" t="str">
        <f>VLOOKUP(E18, $N$2:$O$54, 2, 0)</f>
        <v>Tayla Lima</v>
      </c>
      <c r="G18" s="14" t="str">
        <f t="shared" si="0"/>
        <v>1022</v>
      </c>
      <c r="H18" s="14" t="str">
        <f t="shared" si="1"/>
        <v>iPad 32GB Wifi - Prata</v>
      </c>
      <c r="I18" s="14" t="str">
        <f t="shared" si="2"/>
        <v>TBL</v>
      </c>
      <c r="J18" s="14" t="str">
        <f t="shared" si="3"/>
        <v>Tablet</v>
      </c>
      <c r="K18" s="14" t="str">
        <f t="shared" si="4"/>
        <v>UD09</v>
      </c>
      <c r="L18" s="14" t="str">
        <f t="shared" si="5"/>
        <v>São Paulo</v>
      </c>
      <c r="N18" s="15" t="s">
        <v>162</v>
      </c>
      <c r="O18" s="15" t="s">
        <v>110</v>
      </c>
      <c r="Q18" s="15" t="s">
        <v>44</v>
      </c>
      <c r="R18" s="15" t="s">
        <v>83</v>
      </c>
      <c r="S18" s="15" t="s">
        <v>60</v>
      </c>
      <c r="T18" s="26">
        <v>1450</v>
      </c>
      <c r="U18" s="26">
        <v>700</v>
      </c>
    </row>
    <row r="19" spans="1:21" x14ac:dyDescent="0.25">
      <c r="A19" s="15">
        <v>18</v>
      </c>
      <c r="B19" s="15" t="s">
        <v>258</v>
      </c>
      <c r="C19" s="15">
        <v>1</v>
      </c>
      <c r="D19" s="26">
        <v>1550</v>
      </c>
      <c r="E19" s="14" t="str">
        <f t="shared" si="6"/>
        <v>VA043</v>
      </c>
      <c r="F19" s="14" t="str">
        <f>VLOOKUP(E19, $N$2:$O$54, 2, 0)</f>
        <v>Manuela Ferreira</v>
      </c>
      <c r="G19" s="14" t="str">
        <f t="shared" si="0"/>
        <v>1013</v>
      </c>
      <c r="H19" s="14" t="str">
        <f t="shared" si="1"/>
        <v>Câmera Coolpix L340 - Cinza</v>
      </c>
      <c r="I19" s="14" t="str">
        <f t="shared" si="2"/>
        <v>CAM</v>
      </c>
      <c r="J19" s="14" t="str">
        <f t="shared" si="3"/>
        <v>Câmera</v>
      </c>
      <c r="K19" s="14" t="str">
        <f t="shared" si="4"/>
        <v>UD09</v>
      </c>
      <c r="L19" s="14" t="str">
        <f t="shared" si="5"/>
        <v>São Paulo</v>
      </c>
      <c r="N19" s="15" t="s">
        <v>163</v>
      </c>
      <c r="O19" s="15" t="s">
        <v>111</v>
      </c>
      <c r="Q19" s="15" t="s">
        <v>45</v>
      </c>
      <c r="R19" s="15" t="s">
        <v>84</v>
      </c>
      <c r="S19" s="15" t="s">
        <v>60</v>
      </c>
      <c r="T19" s="26">
        <v>5200</v>
      </c>
      <c r="U19" s="26">
        <v>3500</v>
      </c>
    </row>
    <row r="20" spans="1:21" x14ac:dyDescent="0.25">
      <c r="A20" s="15">
        <v>19</v>
      </c>
      <c r="B20" s="15" t="s">
        <v>259</v>
      </c>
      <c r="C20" s="15">
        <v>1</v>
      </c>
      <c r="D20" s="26">
        <v>750</v>
      </c>
      <c r="E20" s="14" t="str">
        <f t="shared" si="6"/>
        <v>VA021</v>
      </c>
      <c r="F20" s="14" t="str">
        <f>VLOOKUP(E20, $N$2:$O$54, 2, 0)</f>
        <v>Ruan Lopes</v>
      </c>
      <c r="G20" s="14" t="str">
        <f t="shared" si="0"/>
        <v>1022</v>
      </c>
      <c r="H20" s="14" t="str">
        <f t="shared" si="1"/>
        <v>iPad 32GB Wifi - Prata</v>
      </c>
      <c r="I20" s="14" t="str">
        <f t="shared" si="2"/>
        <v>TBL</v>
      </c>
      <c r="J20" s="14" t="str">
        <f t="shared" si="3"/>
        <v>Tablet</v>
      </c>
      <c r="K20" s="14" t="str">
        <f t="shared" si="4"/>
        <v>UD08</v>
      </c>
      <c r="L20" s="14" t="str">
        <f t="shared" si="5"/>
        <v>Nova Iguaçu</v>
      </c>
      <c r="N20" s="15" t="s">
        <v>164</v>
      </c>
      <c r="O20" s="15" t="s">
        <v>112</v>
      </c>
      <c r="Q20" s="15" t="s">
        <v>46</v>
      </c>
      <c r="R20" s="15" t="s">
        <v>85</v>
      </c>
      <c r="S20" s="15" t="s">
        <v>86</v>
      </c>
      <c r="T20" s="26">
        <v>1200</v>
      </c>
      <c r="U20" s="26">
        <v>650</v>
      </c>
    </row>
    <row r="21" spans="1:21" x14ac:dyDescent="0.25">
      <c r="A21" s="15">
        <v>20</v>
      </c>
      <c r="B21" s="15" t="s">
        <v>260</v>
      </c>
      <c r="C21" s="15">
        <v>1</v>
      </c>
      <c r="D21" s="26">
        <v>1550</v>
      </c>
      <c r="E21" s="14" t="str">
        <f t="shared" si="6"/>
        <v>VA019</v>
      </c>
      <c r="F21" s="14" t="str">
        <f>VLOOKUP(E21, $N$2:$O$54, 2, 0)</f>
        <v>Victor Ferreira</v>
      </c>
      <c r="G21" s="14" t="str">
        <f t="shared" si="0"/>
        <v>1013</v>
      </c>
      <c r="H21" s="14" t="str">
        <f t="shared" si="1"/>
        <v>Câmera Coolpix L340 - Cinza</v>
      </c>
      <c r="I21" s="14" t="str">
        <f t="shared" si="2"/>
        <v>CAM</v>
      </c>
      <c r="J21" s="14" t="str">
        <f t="shared" si="3"/>
        <v>Câmera</v>
      </c>
      <c r="K21" s="14" t="str">
        <f t="shared" si="4"/>
        <v>UD10</v>
      </c>
      <c r="L21" s="14" t="str">
        <f t="shared" si="5"/>
        <v>Niterói</v>
      </c>
      <c r="N21" s="15" t="s">
        <v>165</v>
      </c>
      <c r="O21" s="15" t="s">
        <v>113</v>
      </c>
      <c r="Q21" s="15" t="s">
        <v>47</v>
      </c>
      <c r="R21" s="15" t="s">
        <v>87</v>
      </c>
      <c r="S21" s="15" t="s">
        <v>57</v>
      </c>
      <c r="T21" s="26">
        <v>6500</v>
      </c>
      <c r="U21" s="26">
        <v>2800</v>
      </c>
    </row>
    <row r="22" spans="1:21" x14ac:dyDescent="0.25">
      <c r="A22" s="15">
        <v>21</v>
      </c>
      <c r="B22" s="15" t="s">
        <v>261</v>
      </c>
      <c r="C22" s="15">
        <v>3</v>
      </c>
      <c r="D22" s="26">
        <v>9000</v>
      </c>
      <c r="E22" s="14" t="str">
        <f t="shared" si="6"/>
        <v>VA028</v>
      </c>
      <c r="F22" s="14" t="str">
        <f>VLOOKUP(E22, $N$2:$O$54, 2, 0)</f>
        <v>Bernardo Nauenberg</v>
      </c>
      <c r="G22" s="14" t="str">
        <f t="shared" si="0"/>
        <v>1021</v>
      </c>
      <c r="H22" s="14" t="str">
        <f t="shared" si="1"/>
        <v>Galaxy S8 - Verde</v>
      </c>
      <c r="I22" s="14" t="str">
        <f t="shared" si="2"/>
        <v>CLR</v>
      </c>
      <c r="J22" s="14" t="str">
        <f t="shared" si="3"/>
        <v>Celular</v>
      </c>
      <c r="K22" s="14" t="str">
        <f t="shared" si="4"/>
        <v>UD06</v>
      </c>
      <c r="L22" s="14" t="str">
        <f t="shared" si="5"/>
        <v>Recife</v>
      </c>
      <c r="N22" s="15" t="s">
        <v>166</v>
      </c>
      <c r="O22" s="15" t="s">
        <v>114</v>
      </c>
      <c r="Q22" s="15" t="s">
        <v>48</v>
      </c>
      <c r="R22" s="15" t="s">
        <v>88</v>
      </c>
      <c r="S22" s="15" t="s">
        <v>73</v>
      </c>
      <c r="T22" s="26">
        <v>1500</v>
      </c>
      <c r="U22" s="26">
        <v>650</v>
      </c>
    </row>
    <row r="23" spans="1:21" x14ac:dyDescent="0.25">
      <c r="A23" s="15">
        <v>22</v>
      </c>
      <c r="B23" s="15" t="s">
        <v>262</v>
      </c>
      <c r="C23" s="15">
        <v>3</v>
      </c>
      <c r="D23" s="26">
        <v>4500</v>
      </c>
      <c r="E23" s="14" t="str">
        <f t="shared" si="6"/>
        <v>VA009</v>
      </c>
      <c r="F23" s="14" t="str">
        <f>VLOOKUP(E23, $N$2:$O$54, 2, 0)</f>
        <v>Chan Santos</v>
      </c>
      <c r="G23" s="14" t="str">
        <f t="shared" si="0"/>
        <v>1023</v>
      </c>
      <c r="H23" s="14" t="str">
        <f t="shared" si="1"/>
        <v>Samsung Dual Core - Preto</v>
      </c>
      <c r="I23" s="14" t="str">
        <f t="shared" si="2"/>
        <v>NTB</v>
      </c>
      <c r="J23" s="14" t="str">
        <f t="shared" si="3"/>
        <v>Notebook</v>
      </c>
      <c r="K23" s="14" t="str">
        <f t="shared" si="4"/>
        <v>UD02</v>
      </c>
      <c r="L23" s="14" t="str">
        <f t="shared" si="5"/>
        <v>Belo Horizonte</v>
      </c>
      <c r="N23" s="15" t="s">
        <v>167</v>
      </c>
      <c r="O23" s="15" t="s">
        <v>115</v>
      </c>
      <c r="Q23" s="15" t="s">
        <v>49</v>
      </c>
      <c r="R23" s="15" t="s">
        <v>89</v>
      </c>
      <c r="S23" s="15" t="s">
        <v>60</v>
      </c>
      <c r="T23" s="26">
        <v>3000</v>
      </c>
      <c r="U23" s="26">
        <v>1400</v>
      </c>
    </row>
    <row r="24" spans="1:21" x14ac:dyDescent="0.25">
      <c r="A24" s="15">
        <v>23</v>
      </c>
      <c r="B24" s="15" t="s">
        <v>263</v>
      </c>
      <c r="C24" s="15">
        <v>4</v>
      </c>
      <c r="D24" s="26">
        <v>7600</v>
      </c>
      <c r="E24" s="14" t="str">
        <f t="shared" si="6"/>
        <v>VA003</v>
      </c>
      <c r="F24" s="14" t="str">
        <f>VLOOKUP(E24, $N$2:$O$54, 2, 0)</f>
        <v>Bianca Paz</v>
      </c>
      <c r="G24" s="14" t="str">
        <f t="shared" si="0"/>
        <v>1010</v>
      </c>
      <c r="H24" s="14" t="str">
        <f t="shared" si="1"/>
        <v>iPhone 6S - Rosa</v>
      </c>
      <c r="I24" s="14" t="str">
        <f t="shared" si="2"/>
        <v>CLR</v>
      </c>
      <c r="J24" s="14" t="str">
        <f t="shared" si="3"/>
        <v>Celular</v>
      </c>
      <c r="K24" s="14" t="str">
        <f t="shared" si="4"/>
        <v>UD08</v>
      </c>
      <c r="L24" s="14" t="str">
        <f t="shared" si="5"/>
        <v>Nova Iguaçu</v>
      </c>
      <c r="N24" s="15" t="s">
        <v>168</v>
      </c>
      <c r="O24" s="15" t="s">
        <v>116</v>
      </c>
      <c r="Q24" s="15" t="s">
        <v>50</v>
      </c>
      <c r="R24" s="15" t="s">
        <v>90</v>
      </c>
      <c r="S24" s="15" t="s">
        <v>57</v>
      </c>
      <c r="T24" s="26">
        <v>750</v>
      </c>
      <c r="U24" s="26">
        <v>350</v>
      </c>
    </row>
    <row r="25" spans="1:21" x14ac:dyDescent="0.25">
      <c r="A25" s="15">
        <v>24</v>
      </c>
      <c r="B25" s="15" t="s">
        <v>264</v>
      </c>
      <c r="C25" s="15">
        <v>1</v>
      </c>
      <c r="D25" s="26">
        <v>5500</v>
      </c>
      <c r="E25" s="14" t="str">
        <f t="shared" si="6"/>
        <v>VA014</v>
      </c>
      <c r="F25" s="14" t="str">
        <f>VLOOKUP(E25, $N$2:$O$54, 2, 0)</f>
        <v>João Aires</v>
      </c>
      <c r="G25" s="14" t="str">
        <f t="shared" si="0"/>
        <v>1012</v>
      </c>
      <c r="H25" s="14" t="str">
        <f t="shared" si="1"/>
        <v>Dell G7 - Vermelho</v>
      </c>
      <c r="I25" s="14" t="str">
        <f t="shared" si="2"/>
        <v>NTB</v>
      </c>
      <c r="J25" s="14" t="str">
        <f t="shared" si="3"/>
        <v>Notebook</v>
      </c>
      <c r="K25" s="14" t="str">
        <f t="shared" si="4"/>
        <v>UD05</v>
      </c>
      <c r="L25" s="14" t="str">
        <f t="shared" si="5"/>
        <v>Fortaleza</v>
      </c>
      <c r="N25" s="15" t="s">
        <v>169</v>
      </c>
      <c r="O25" s="15" t="s">
        <v>117</v>
      </c>
      <c r="Q25" s="15" t="s">
        <v>51</v>
      </c>
      <c r="R25" s="15" t="s">
        <v>91</v>
      </c>
      <c r="S25" s="15" t="s">
        <v>60</v>
      </c>
      <c r="T25" s="26">
        <v>1500</v>
      </c>
      <c r="U25" s="26">
        <v>550</v>
      </c>
    </row>
    <row r="26" spans="1:21" x14ac:dyDescent="0.25">
      <c r="A26" s="15">
        <v>25</v>
      </c>
      <c r="B26" s="15" t="s">
        <v>265</v>
      </c>
      <c r="C26" s="15">
        <v>4</v>
      </c>
      <c r="D26" s="26">
        <v>8000</v>
      </c>
      <c r="E26" s="14" t="str">
        <f t="shared" si="6"/>
        <v>VA032</v>
      </c>
      <c r="F26" s="14" t="str">
        <f>VLOOKUP(E26, $N$2:$O$54, 2, 0)</f>
        <v>Isabela Resende</v>
      </c>
      <c r="G26" s="14" t="str">
        <f t="shared" si="0"/>
        <v>1008</v>
      </c>
      <c r="H26" s="14" t="str">
        <f t="shared" si="1"/>
        <v>Smart TV LED Full HD 55' - Preto</v>
      </c>
      <c r="I26" s="14" t="str">
        <f t="shared" si="2"/>
        <v>TLV</v>
      </c>
      <c r="J26" s="14" t="str">
        <f t="shared" si="3"/>
        <v>Televisão</v>
      </c>
      <c r="K26" s="14" t="str">
        <f t="shared" si="4"/>
        <v>UD10</v>
      </c>
      <c r="L26" s="14" t="str">
        <f t="shared" si="5"/>
        <v>Niterói</v>
      </c>
      <c r="N26" s="15" t="s">
        <v>170</v>
      </c>
      <c r="O26" s="15" t="s">
        <v>118</v>
      </c>
      <c r="Q26" s="15" t="s">
        <v>52</v>
      </c>
      <c r="R26" s="15" t="s">
        <v>92</v>
      </c>
      <c r="S26" s="15" t="s">
        <v>93</v>
      </c>
      <c r="T26" s="26">
        <v>2400</v>
      </c>
      <c r="U26" s="26">
        <v>1150</v>
      </c>
    </row>
    <row r="27" spans="1:21" x14ac:dyDescent="0.25">
      <c r="A27" s="15">
        <v>26</v>
      </c>
      <c r="B27" s="15" t="s">
        <v>266</v>
      </c>
      <c r="C27" s="15">
        <v>1</v>
      </c>
      <c r="D27" s="26">
        <v>1750</v>
      </c>
      <c r="E27" s="14" t="str">
        <f t="shared" si="6"/>
        <v>VA043</v>
      </c>
      <c r="F27" s="14" t="str">
        <f>VLOOKUP(E27, $N$2:$O$54, 2, 0)</f>
        <v>Manuela Ferreira</v>
      </c>
      <c r="G27" s="14" t="str">
        <f t="shared" si="0"/>
        <v>1004</v>
      </c>
      <c r="H27" s="14" t="str">
        <f t="shared" si="1"/>
        <v>Apple Watch - Preto</v>
      </c>
      <c r="I27" s="14" t="str">
        <f t="shared" si="2"/>
        <v>SMW</v>
      </c>
      <c r="J27" s="14" t="str">
        <f t="shared" si="3"/>
        <v>Smart Watch</v>
      </c>
      <c r="K27" s="14" t="str">
        <f t="shared" si="4"/>
        <v>UD02</v>
      </c>
      <c r="L27" s="14" t="str">
        <f t="shared" si="5"/>
        <v>Belo Horizonte</v>
      </c>
      <c r="N27" s="15" t="s">
        <v>171</v>
      </c>
      <c r="O27" s="15" t="s">
        <v>119</v>
      </c>
    </row>
    <row r="28" spans="1:21" x14ac:dyDescent="0.25">
      <c r="A28" s="15">
        <v>27</v>
      </c>
      <c r="B28" s="15" t="s">
        <v>267</v>
      </c>
      <c r="C28" s="15">
        <v>1</v>
      </c>
      <c r="D28" s="26">
        <v>1500</v>
      </c>
      <c r="E28" s="14" t="str">
        <f t="shared" si="6"/>
        <v>VA010</v>
      </c>
      <c r="F28" s="14" t="str">
        <f>VLOOKUP(E28, $N$2:$O$54, 2, 0)</f>
        <v>Fernanda Ferreira</v>
      </c>
      <c r="G28" s="14" t="str">
        <f t="shared" si="0"/>
        <v>1020</v>
      </c>
      <c r="H28" s="14" t="str">
        <f t="shared" si="1"/>
        <v>Moto Z - Vermelho</v>
      </c>
      <c r="I28" s="14" t="str">
        <f t="shared" si="2"/>
        <v>CLR</v>
      </c>
      <c r="J28" s="14" t="str">
        <f t="shared" si="3"/>
        <v>Celular</v>
      </c>
      <c r="K28" s="14" t="str">
        <f t="shared" si="4"/>
        <v>UD08</v>
      </c>
      <c r="L28" s="14" t="str">
        <f t="shared" si="5"/>
        <v>Nova Iguaçu</v>
      </c>
      <c r="N28" s="15" t="s">
        <v>172</v>
      </c>
      <c r="O28" s="15" t="s">
        <v>120</v>
      </c>
    </row>
    <row r="29" spans="1:21" x14ac:dyDescent="0.25">
      <c r="A29" s="15">
        <v>28</v>
      </c>
      <c r="B29" s="15" t="s">
        <v>268</v>
      </c>
      <c r="C29" s="15">
        <v>1</v>
      </c>
      <c r="D29" s="26">
        <v>1750</v>
      </c>
      <c r="E29" s="14" t="str">
        <f t="shared" si="6"/>
        <v>VA030</v>
      </c>
      <c r="F29" s="14" t="str">
        <f>VLOOKUP(E29, $N$2:$O$54, 2, 0)</f>
        <v>Pedro Macckione</v>
      </c>
      <c r="G29" s="14" t="str">
        <f t="shared" si="0"/>
        <v>1004</v>
      </c>
      <c r="H29" s="14" t="str">
        <f t="shared" si="1"/>
        <v>Apple Watch - Preto</v>
      </c>
      <c r="I29" s="14" t="str">
        <f t="shared" si="2"/>
        <v>SMW</v>
      </c>
      <c r="J29" s="14" t="str">
        <f t="shared" si="3"/>
        <v>Smart Watch</v>
      </c>
      <c r="K29" s="14" t="str">
        <f t="shared" si="4"/>
        <v>UD12</v>
      </c>
      <c r="L29" s="14" t="str">
        <f t="shared" si="5"/>
        <v>Guarulhos</v>
      </c>
      <c r="N29" s="15" t="s">
        <v>173</v>
      </c>
      <c r="O29" s="15" t="s">
        <v>121</v>
      </c>
    </row>
    <row r="30" spans="1:21" x14ac:dyDescent="0.25">
      <c r="A30" s="15">
        <v>29</v>
      </c>
      <c r="B30" s="15" t="s">
        <v>269</v>
      </c>
      <c r="C30" s="15">
        <v>1</v>
      </c>
      <c r="D30" s="26">
        <v>1750</v>
      </c>
      <c r="E30" s="14" t="str">
        <f t="shared" si="6"/>
        <v>VA038</v>
      </c>
      <c r="F30" s="14" t="str">
        <f>VLOOKUP(E30, $N$2:$O$54, 2, 0)</f>
        <v>Bianca Procaci</v>
      </c>
      <c r="G30" s="14" t="str">
        <f t="shared" si="0"/>
        <v>1004</v>
      </c>
      <c r="H30" s="14" t="str">
        <f t="shared" si="1"/>
        <v>Apple Watch - Preto</v>
      </c>
      <c r="I30" s="14" t="str">
        <f t="shared" si="2"/>
        <v>SMW</v>
      </c>
      <c r="J30" s="14" t="str">
        <f t="shared" si="3"/>
        <v>Smart Watch</v>
      </c>
      <c r="K30" s="14" t="str">
        <f t="shared" si="4"/>
        <v>UD11</v>
      </c>
      <c r="L30" s="14" t="str">
        <f t="shared" si="5"/>
        <v>Goiânia</v>
      </c>
      <c r="N30" s="15" t="s">
        <v>174</v>
      </c>
      <c r="O30" s="15" t="s">
        <v>122</v>
      </c>
    </row>
    <row r="31" spans="1:21" x14ac:dyDescent="0.25">
      <c r="A31" s="15">
        <v>30</v>
      </c>
      <c r="B31" s="15" t="s">
        <v>270</v>
      </c>
      <c r="C31" s="15">
        <v>5</v>
      </c>
      <c r="D31" s="26">
        <v>7250</v>
      </c>
      <c r="E31" s="14" t="str">
        <f t="shared" si="6"/>
        <v>VA046</v>
      </c>
      <c r="F31" s="14" t="str">
        <f>VLOOKUP(E31, $N$2:$O$54, 2, 0)</f>
        <v>Adrielle Forte</v>
      </c>
      <c r="G31" s="14" t="str">
        <f t="shared" si="0"/>
        <v>1016</v>
      </c>
      <c r="H31" s="14" t="str">
        <f t="shared" si="1"/>
        <v>Smart Watch Galaxy - Azul</v>
      </c>
      <c r="I31" s="14" t="str">
        <f t="shared" si="2"/>
        <v>SMW</v>
      </c>
      <c r="J31" s="14" t="str">
        <f t="shared" si="3"/>
        <v>Smart Watch</v>
      </c>
      <c r="K31" s="14" t="str">
        <f t="shared" si="4"/>
        <v>UD04</v>
      </c>
      <c r="L31" s="14" t="str">
        <f t="shared" si="5"/>
        <v>Curitiba</v>
      </c>
      <c r="N31" s="15" t="s">
        <v>175</v>
      </c>
      <c r="O31" s="15" t="s">
        <v>123</v>
      </c>
    </row>
    <row r="32" spans="1:21" x14ac:dyDescent="0.25">
      <c r="A32" s="15">
        <v>31</v>
      </c>
      <c r="B32" s="15" t="s">
        <v>271</v>
      </c>
      <c r="C32" s="15">
        <v>5</v>
      </c>
      <c r="D32" s="26">
        <v>27500</v>
      </c>
      <c r="E32" s="14" t="str">
        <f t="shared" si="6"/>
        <v>VA038</v>
      </c>
      <c r="F32" s="14" t="str">
        <f>VLOOKUP(E32, $N$2:$O$54, 2, 0)</f>
        <v>Bianca Procaci</v>
      </c>
      <c r="G32" s="14" t="str">
        <f t="shared" si="0"/>
        <v>1012</v>
      </c>
      <c r="H32" s="14" t="str">
        <f t="shared" si="1"/>
        <v>Dell G7 - Vermelho</v>
      </c>
      <c r="I32" s="14" t="str">
        <f t="shared" si="2"/>
        <v>NTB</v>
      </c>
      <c r="J32" s="14" t="str">
        <f t="shared" si="3"/>
        <v>Notebook</v>
      </c>
      <c r="K32" s="14" t="str">
        <f t="shared" si="4"/>
        <v>UD03</v>
      </c>
      <c r="L32" s="14" t="str">
        <f t="shared" si="5"/>
        <v>Salvador</v>
      </c>
      <c r="N32" s="15" t="s">
        <v>176</v>
      </c>
      <c r="O32" s="15" t="s">
        <v>124</v>
      </c>
    </row>
    <row r="33" spans="1:15" x14ac:dyDescent="0.25">
      <c r="A33" s="15">
        <v>32</v>
      </c>
      <c r="B33" s="15" t="s">
        <v>272</v>
      </c>
      <c r="C33" s="15">
        <v>1</v>
      </c>
      <c r="D33" s="26">
        <v>4500</v>
      </c>
      <c r="E33" s="14" t="str">
        <f t="shared" si="6"/>
        <v>VA028</v>
      </c>
      <c r="F33" s="14" t="str">
        <f>VLOOKUP(E33, $N$2:$O$54, 2, 0)</f>
        <v>Bernardo Nauenberg</v>
      </c>
      <c r="G33" s="14" t="str">
        <f t="shared" si="0"/>
        <v>1003</v>
      </c>
      <c r="H33" s="14" t="str">
        <f t="shared" si="1"/>
        <v>Galaxy S10 - Cinza</v>
      </c>
      <c r="I33" s="14" t="str">
        <f t="shared" si="2"/>
        <v>CLR</v>
      </c>
      <c r="J33" s="14" t="str">
        <f t="shared" si="3"/>
        <v>Celular</v>
      </c>
      <c r="K33" s="14" t="str">
        <f t="shared" si="4"/>
        <v>UD04</v>
      </c>
      <c r="L33" s="14" t="str">
        <f t="shared" si="5"/>
        <v>Curitiba</v>
      </c>
      <c r="N33" s="15" t="s">
        <v>177</v>
      </c>
      <c r="O33" s="15" t="s">
        <v>125</v>
      </c>
    </row>
    <row r="34" spans="1:15" x14ac:dyDescent="0.25">
      <c r="A34" s="15">
        <v>33</v>
      </c>
      <c r="B34" s="15" t="s">
        <v>273</v>
      </c>
      <c r="C34" s="15">
        <v>5</v>
      </c>
      <c r="D34" s="26">
        <v>15000</v>
      </c>
      <c r="E34" s="14" t="str">
        <f t="shared" si="6"/>
        <v>VA004</v>
      </c>
      <c r="F34" s="14" t="str">
        <f>VLOOKUP(E34, $N$2:$O$54, 2, 0)</f>
        <v>Silvio Fahrnholz</v>
      </c>
      <c r="G34" s="14" t="str">
        <f t="shared" si="0"/>
        <v>1021</v>
      </c>
      <c r="H34" s="14" t="str">
        <f t="shared" si="1"/>
        <v>Galaxy S8 - Verde</v>
      </c>
      <c r="I34" s="14" t="str">
        <f t="shared" si="2"/>
        <v>CLR</v>
      </c>
      <c r="J34" s="14" t="str">
        <f t="shared" si="3"/>
        <v>Celular</v>
      </c>
      <c r="K34" s="14" t="str">
        <f t="shared" si="4"/>
        <v>UD10</v>
      </c>
      <c r="L34" s="14" t="str">
        <f t="shared" si="5"/>
        <v>Niterói</v>
      </c>
      <c r="N34" s="15" t="s">
        <v>178</v>
      </c>
      <c r="O34" s="15" t="s">
        <v>126</v>
      </c>
    </row>
    <row r="35" spans="1:15" x14ac:dyDescent="0.25">
      <c r="A35" s="15">
        <v>34</v>
      </c>
      <c r="B35" s="15" t="s">
        <v>274</v>
      </c>
      <c r="C35" s="15">
        <v>1</v>
      </c>
      <c r="D35" s="26">
        <v>1550</v>
      </c>
      <c r="E35" s="14" t="str">
        <f t="shared" si="6"/>
        <v>VA016</v>
      </c>
      <c r="F35" s="14" t="str">
        <f>VLOOKUP(E35, $N$2:$O$54, 2, 0)</f>
        <v>Tiago Pereira</v>
      </c>
      <c r="G35" s="14" t="str">
        <f t="shared" si="0"/>
        <v>1013</v>
      </c>
      <c r="H35" s="14" t="str">
        <f t="shared" si="1"/>
        <v>Câmera Coolpix L340 - Cinza</v>
      </c>
      <c r="I35" s="14" t="str">
        <f t="shared" si="2"/>
        <v>CAM</v>
      </c>
      <c r="J35" s="14" t="str">
        <f t="shared" si="3"/>
        <v>Câmera</v>
      </c>
      <c r="K35" s="14" t="str">
        <f t="shared" si="4"/>
        <v>UD11</v>
      </c>
      <c r="L35" s="14" t="str">
        <f t="shared" si="5"/>
        <v>Goiânia</v>
      </c>
      <c r="N35" s="15" t="s">
        <v>179</v>
      </c>
      <c r="O35" s="15" t="s">
        <v>127</v>
      </c>
    </row>
    <row r="36" spans="1:15" x14ac:dyDescent="0.25">
      <c r="A36" s="15">
        <v>35</v>
      </c>
      <c r="B36" s="15" t="s">
        <v>275</v>
      </c>
      <c r="C36" s="15">
        <v>1</v>
      </c>
      <c r="D36" s="26">
        <v>2600</v>
      </c>
      <c r="E36" s="14" t="str">
        <f t="shared" si="6"/>
        <v>VA037</v>
      </c>
      <c r="F36" s="14" t="str">
        <f>VLOOKUP(E36, $N$2:$O$54, 2, 0)</f>
        <v>Fernanda Junior</v>
      </c>
      <c r="G36" s="14" t="str">
        <f t="shared" si="0"/>
        <v>1001</v>
      </c>
      <c r="H36" s="14" t="str">
        <f t="shared" si="1"/>
        <v>Smart TV 50' 4K - Preto</v>
      </c>
      <c r="I36" s="14" t="str">
        <f t="shared" si="2"/>
        <v>TLV</v>
      </c>
      <c r="J36" s="14" t="str">
        <f t="shared" si="3"/>
        <v>Televisão</v>
      </c>
      <c r="K36" s="14" t="str">
        <f t="shared" si="4"/>
        <v>UD05</v>
      </c>
      <c r="L36" s="14" t="str">
        <f t="shared" si="5"/>
        <v>Fortaleza</v>
      </c>
      <c r="N36" s="15" t="s">
        <v>180</v>
      </c>
      <c r="O36" s="15" t="s">
        <v>128</v>
      </c>
    </row>
    <row r="37" spans="1:15" x14ac:dyDescent="0.25">
      <c r="A37" s="15">
        <v>36</v>
      </c>
      <c r="B37" s="15" t="s">
        <v>276</v>
      </c>
      <c r="C37" s="15">
        <v>1</v>
      </c>
      <c r="D37" s="26">
        <v>700</v>
      </c>
      <c r="E37" s="14" t="str">
        <f t="shared" si="6"/>
        <v>VA010</v>
      </c>
      <c r="F37" s="14" t="str">
        <f>VLOOKUP(E37, $N$2:$O$54, 2, 0)</f>
        <v>Fernanda Ferreira</v>
      </c>
      <c r="G37" s="14" t="str">
        <f t="shared" si="0"/>
        <v>1015</v>
      </c>
      <c r="H37" s="14" t="str">
        <f t="shared" si="1"/>
        <v>Câmera Digital Sony Cyber - Azul</v>
      </c>
      <c r="I37" s="14" t="str">
        <f t="shared" si="2"/>
        <v>CAM</v>
      </c>
      <c r="J37" s="14" t="str">
        <f t="shared" si="3"/>
        <v>Câmera</v>
      </c>
      <c r="K37" s="14" t="str">
        <f t="shared" si="4"/>
        <v>UD04</v>
      </c>
      <c r="L37" s="14" t="str">
        <f t="shared" si="5"/>
        <v>Curitiba</v>
      </c>
      <c r="N37" s="15" t="s">
        <v>181</v>
      </c>
      <c r="O37" s="15" t="s">
        <v>129</v>
      </c>
    </row>
    <row r="38" spans="1:15" x14ac:dyDescent="0.25">
      <c r="A38" s="15">
        <v>37</v>
      </c>
      <c r="B38" s="15" t="s">
        <v>277</v>
      </c>
      <c r="C38" s="15">
        <v>5</v>
      </c>
      <c r="D38" s="26">
        <v>12000</v>
      </c>
      <c r="E38" s="14" t="str">
        <f t="shared" si="6"/>
        <v>VA004</v>
      </c>
      <c r="F38" s="14" t="str">
        <f>VLOOKUP(E38, $N$2:$O$54, 2, 0)</f>
        <v>Silvio Fahrnholz</v>
      </c>
      <c r="G38" s="14" t="str">
        <f t="shared" si="0"/>
        <v>1024</v>
      </c>
      <c r="H38" s="14" t="str">
        <f t="shared" si="1"/>
        <v>Aspire 5 - Cinza</v>
      </c>
      <c r="I38" s="14" t="str">
        <f t="shared" si="2"/>
        <v>NTB</v>
      </c>
      <c r="J38" s="14" t="str">
        <f t="shared" si="3"/>
        <v>Notebook</v>
      </c>
      <c r="K38" s="14" t="str">
        <f t="shared" si="4"/>
        <v>UD02</v>
      </c>
      <c r="L38" s="14" t="str">
        <f t="shared" si="5"/>
        <v>Belo Horizonte</v>
      </c>
      <c r="N38" s="15" t="s">
        <v>182</v>
      </c>
      <c r="O38" s="15" t="s">
        <v>130</v>
      </c>
    </row>
    <row r="39" spans="1:15" x14ac:dyDescent="0.25">
      <c r="A39" s="15">
        <v>38</v>
      </c>
      <c r="B39" s="15" t="s">
        <v>278</v>
      </c>
      <c r="C39" s="15">
        <v>2</v>
      </c>
      <c r="D39" s="26">
        <v>2200</v>
      </c>
      <c r="E39" s="14" t="str">
        <f t="shared" si="6"/>
        <v>VA005</v>
      </c>
      <c r="F39" s="14" t="str">
        <f>VLOOKUP(E39, $N$2:$O$54, 2, 0)</f>
        <v>Luiza Cabral</v>
      </c>
      <c r="G39" s="14" t="str">
        <f t="shared" si="0"/>
        <v>1014</v>
      </c>
      <c r="H39" s="14" t="str">
        <f t="shared" si="1"/>
        <v>Galaxy J8 - Roxo</v>
      </c>
      <c r="I39" s="14" t="str">
        <f t="shared" si="2"/>
        <v>CLR</v>
      </c>
      <c r="J39" s="14" t="str">
        <f t="shared" si="3"/>
        <v>Celular</v>
      </c>
      <c r="K39" s="14" t="str">
        <f t="shared" si="4"/>
        <v>UD04</v>
      </c>
      <c r="L39" s="14" t="str">
        <f t="shared" si="5"/>
        <v>Curitiba</v>
      </c>
      <c r="N39" s="15" t="s">
        <v>183</v>
      </c>
      <c r="O39" s="15" t="s">
        <v>131</v>
      </c>
    </row>
    <row r="40" spans="1:15" x14ac:dyDescent="0.25">
      <c r="A40" s="15">
        <v>39</v>
      </c>
      <c r="B40" s="15" t="s">
        <v>279</v>
      </c>
      <c r="C40" s="15">
        <v>1</v>
      </c>
      <c r="D40" s="26">
        <v>1500</v>
      </c>
      <c r="E40" s="14" t="str">
        <f t="shared" si="6"/>
        <v>VA018</v>
      </c>
      <c r="F40" s="14" t="str">
        <f>VLOOKUP(E40, $N$2:$O$54, 2, 0)</f>
        <v>Bernardo Botelho</v>
      </c>
      <c r="G40" s="14" t="str">
        <f t="shared" si="0"/>
        <v>1020</v>
      </c>
      <c r="H40" s="14" t="str">
        <f t="shared" si="1"/>
        <v>Moto Z - Vermelho</v>
      </c>
      <c r="I40" s="14" t="str">
        <f t="shared" si="2"/>
        <v>CLR</v>
      </c>
      <c r="J40" s="14" t="str">
        <f t="shared" si="3"/>
        <v>Celular</v>
      </c>
      <c r="K40" s="14" t="str">
        <f t="shared" si="4"/>
        <v>UD11</v>
      </c>
      <c r="L40" s="14" t="str">
        <f t="shared" si="5"/>
        <v>Goiânia</v>
      </c>
      <c r="N40" s="15" t="s">
        <v>184</v>
      </c>
      <c r="O40" s="15" t="s">
        <v>132</v>
      </c>
    </row>
    <row r="41" spans="1:15" x14ac:dyDescent="0.25">
      <c r="A41" s="15">
        <v>40</v>
      </c>
      <c r="B41" s="15" t="s">
        <v>280</v>
      </c>
      <c r="C41" s="15">
        <v>5</v>
      </c>
      <c r="D41" s="26">
        <v>7250</v>
      </c>
      <c r="E41" s="14" t="str">
        <f t="shared" si="6"/>
        <v>VA010</v>
      </c>
      <c r="F41" s="14" t="str">
        <f>VLOOKUP(E41, $N$2:$O$54, 2, 0)</f>
        <v>Fernanda Ferreira</v>
      </c>
      <c r="G41" s="14" t="str">
        <f t="shared" si="0"/>
        <v>1016</v>
      </c>
      <c r="H41" s="14" t="str">
        <f t="shared" si="1"/>
        <v>Smart Watch Galaxy - Azul</v>
      </c>
      <c r="I41" s="14" t="str">
        <f t="shared" si="2"/>
        <v>SMW</v>
      </c>
      <c r="J41" s="14" t="str">
        <f t="shared" si="3"/>
        <v>Smart Watch</v>
      </c>
      <c r="K41" s="14" t="str">
        <f t="shared" si="4"/>
        <v>UD02</v>
      </c>
      <c r="L41" s="14" t="str">
        <f t="shared" si="5"/>
        <v>Belo Horizonte</v>
      </c>
      <c r="N41" s="15" t="s">
        <v>185</v>
      </c>
      <c r="O41" s="15" t="s">
        <v>133</v>
      </c>
    </row>
    <row r="42" spans="1:15" x14ac:dyDescent="0.25">
      <c r="A42" s="15">
        <v>41</v>
      </c>
      <c r="B42" s="15" t="s">
        <v>281</v>
      </c>
      <c r="C42" s="15">
        <v>1</v>
      </c>
      <c r="D42" s="26">
        <v>2000</v>
      </c>
      <c r="E42" s="14" t="str">
        <f t="shared" si="6"/>
        <v>VA050</v>
      </c>
      <c r="F42" s="14" t="str">
        <f>VLOOKUP(E42, $N$2:$O$54, 2, 0)</f>
        <v>Tayla Lima</v>
      </c>
      <c r="G42" s="14" t="str">
        <f t="shared" si="0"/>
        <v>1008</v>
      </c>
      <c r="H42" s="14" t="str">
        <f t="shared" si="1"/>
        <v>Smart TV LED Full HD 55' - Preto</v>
      </c>
      <c r="I42" s="14" t="str">
        <f t="shared" si="2"/>
        <v>TLV</v>
      </c>
      <c r="J42" s="14" t="str">
        <f t="shared" si="3"/>
        <v>Televisão</v>
      </c>
      <c r="K42" s="14" t="str">
        <f t="shared" si="4"/>
        <v>UD07</v>
      </c>
      <c r="L42" s="14" t="str">
        <f t="shared" si="5"/>
        <v>Porto Alegre</v>
      </c>
      <c r="N42" s="15" t="s">
        <v>186</v>
      </c>
      <c r="O42" s="15" t="s">
        <v>134</v>
      </c>
    </row>
    <row r="43" spans="1:15" x14ac:dyDescent="0.25">
      <c r="A43" s="15">
        <v>42</v>
      </c>
      <c r="B43" s="15" t="s">
        <v>282</v>
      </c>
      <c r="C43" s="15">
        <v>1</v>
      </c>
      <c r="D43" s="26">
        <v>1100</v>
      </c>
      <c r="E43" s="14" t="str">
        <f t="shared" si="6"/>
        <v>VA033</v>
      </c>
      <c r="F43" s="14" t="str">
        <f>VLOOKUP(E43, $N$2:$O$54, 2, 0)</f>
        <v>Raíza Lopes</v>
      </c>
      <c r="G43" s="14" t="str">
        <f t="shared" si="0"/>
        <v>1014</v>
      </c>
      <c r="H43" s="14" t="str">
        <f t="shared" si="1"/>
        <v>Galaxy J8 - Roxo</v>
      </c>
      <c r="I43" s="14" t="str">
        <f t="shared" si="2"/>
        <v>CLR</v>
      </c>
      <c r="J43" s="14" t="str">
        <f t="shared" si="3"/>
        <v>Celular</v>
      </c>
      <c r="K43" s="14" t="str">
        <f t="shared" si="4"/>
        <v>UD04</v>
      </c>
      <c r="L43" s="14" t="str">
        <f t="shared" si="5"/>
        <v>Curitiba</v>
      </c>
      <c r="N43" s="15" t="s">
        <v>187</v>
      </c>
      <c r="O43" s="15" t="s">
        <v>135</v>
      </c>
    </row>
    <row r="44" spans="1:15" x14ac:dyDescent="0.25">
      <c r="A44" s="15">
        <v>43</v>
      </c>
      <c r="B44" s="15" t="s">
        <v>283</v>
      </c>
      <c r="C44" s="15">
        <v>1</v>
      </c>
      <c r="D44" s="26">
        <v>700</v>
      </c>
      <c r="E44" s="14" t="str">
        <f t="shared" si="6"/>
        <v>VA002</v>
      </c>
      <c r="F44" s="14" t="str">
        <f>VLOOKUP(E44, $N$2:$O$54, 2, 0)</f>
        <v>Antonio Manhães</v>
      </c>
      <c r="G44" s="14" t="str">
        <f t="shared" si="0"/>
        <v>1015</v>
      </c>
      <c r="H44" s="14" t="str">
        <f t="shared" si="1"/>
        <v>Câmera Digital Sony Cyber - Azul</v>
      </c>
      <c r="I44" s="14" t="str">
        <f t="shared" si="2"/>
        <v>CAM</v>
      </c>
      <c r="J44" s="14" t="str">
        <f t="shared" si="3"/>
        <v>Câmera</v>
      </c>
      <c r="K44" s="14" t="str">
        <f t="shared" si="4"/>
        <v>UD01</v>
      </c>
      <c r="L44" s="14" t="str">
        <f t="shared" si="5"/>
        <v>Rio de Janeiro</v>
      </c>
      <c r="N44" s="15" t="s">
        <v>188</v>
      </c>
      <c r="O44" s="15" t="s">
        <v>136</v>
      </c>
    </row>
    <row r="45" spans="1:15" x14ac:dyDescent="0.25">
      <c r="A45" s="15">
        <v>44</v>
      </c>
      <c r="B45" s="15" t="s">
        <v>284</v>
      </c>
      <c r="C45" s="15">
        <v>2</v>
      </c>
      <c r="D45" s="26">
        <v>4000</v>
      </c>
      <c r="E45" s="14" t="str">
        <f t="shared" si="6"/>
        <v>VA013</v>
      </c>
      <c r="F45" s="14" t="str">
        <f>VLOOKUP(E45, $N$2:$O$54, 2, 0)</f>
        <v>Eduardo Silva</v>
      </c>
      <c r="G45" s="14" t="str">
        <f t="shared" si="0"/>
        <v>1011</v>
      </c>
      <c r="H45" s="14" t="str">
        <f t="shared" si="1"/>
        <v>Tablet M10 Android - Preto</v>
      </c>
      <c r="I45" s="14" t="str">
        <f t="shared" si="2"/>
        <v>TBL</v>
      </c>
      <c r="J45" s="14" t="str">
        <f t="shared" si="3"/>
        <v>Tablet</v>
      </c>
      <c r="K45" s="14" t="str">
        <f t="shared" si="4"/>
        <v>UD10</v>
      </c>
      <c r="L45" s="14" t="str">
        <f t="shared" si="5"/>
        <v>Niterói</v>
      </c>
      <c r="N45" s="15" t="s">
        <v>189</v>
      </c>
      <c r="O45" s="15" t="s">
        <v>137</v>
      </c>
    </row>
    <row r="46" spans="1:15" x14ac:dyDescent="0.25">
      <c r="A46" s="15">
        <v>45</v>
      </c>
      <c r="B46" s="15" t="s">
        <v>285</v>
      </c>
      <c r="C46" s="15">
        <v>4</v>
      </c>
      <c r="D46" s="26">
        <v>18000</v>
      </c>
      <c r="E46" s="14" t="str">
        <f t="shared" si="6"/>
        <v>VA042</v>
      </c>
      <c r="F46" s="14" t="str">
        <f>VLOOKUP(E46, $N$2:$O$54, 2, 0)</f>
        <v>Fabio Boccaletti</v>
      </c>
      <c r="G46" s="14" t="str">
        <f t="shared" si="0"/>
        <v>1003</v>
      </c>
      <c r="H46" s="14" t="str">
        <f t="shared" si="1"/>
        <v>Galaxy S10 - Cinza</v>
      </c>
      <c r="I46" s="14" t="str">
        <f t="shared" si="2"/>
        <v>CLR</v>
      </c>
      <c r="J46" s="14" t="str">
        <f t="shared" si="3"/>
        <v>Celular</v>
      </c>
      <c r="K46" s="14" t="str">
        <f t="shared" si="4"/>
        <v>UD12</v>
      </c>
      <c r="L46" s="14" t="str">
        <f t="shared" si="5"/>
        <v>Guarulhos</v>
      </c>
      <c r="N46" s="15" t="s">
        <v>190</v>
      </c>
      <c r="O46" s="15" t="s">
        <v>138</v>
      </c>
    </row>
    <row r="47" spans="1:15" x14ac:dyDescent="0.25">
      <c r="A47" s="15">
        <v>46</v>
      </c>
      <c r="B47" s="15" t="s">
        <v>286</v>
      </c>
      <c r="C47" s="15">
        <v>1</v>
      </c>
      <c r="D47" s="26">
        <v>1500</v>
      </c>
      <c r="E47" s="14" t="str">
        <f t="shared" si="6"/>
        <v>VA041</v>
      </c>
      <c r="F47" s="14" t="str">
        <f>VLOOKUP(E47, $N$2:$O$54, 2, 0)</f>
        <v>Raphael Kurtz</v>
      </c>
      <c r="G47" s="14" t="str">
        <f t="shared" si="0"/>
        <v>1020</v>
      </c>
      <c r="H47" s="14" t="str">
        <f t="shared" si="1"/>
        <v>Moto Z - Vermelho</v>
      </c>
      <c r="I47" s="14" t="str">
        <f t="shared" si="2"/>
        <v>CLR</v>
      </c>
      <c r="J47" s="14" t="str">
        <f t="shared" si="3"/>
        <v>Celular</v>
      </c>
      <c r="K47" s="14" t="str">
        <f t="shared" si="4"/>
        <v>UD02</v>
      </c>
      <c r="L47" s="14" t="str">
        <f t="shared" si="5"/>
        <v>Belo Horizonte</v>
      </c>
      <c r="N47" s="15" t="s">
        <v>191</v>
      </c>
      <c r="O47" s="15" t="s">
        <v>139</v>
      </c>
    </row>
    <row r="48" spans="1:15" x14ac:dyDescent="0.25">
      <c r="A48" s="15">
        <v>47</v>
      </c>
      <c r="B48" s="15" t="s">
        <v>287</v>
      </c>
      <c r="C48" s="15">
        <v>1</v>
      </c>
      <c r="D48" s="26">
        <v>1750</v>
      </c>
      <c r="E48" s="14" t="str">
        <f t="shared" si="6"/>
        <v>VA031</v>
      </c>
      <c r="F48" s="14" t="str">
        <f>VLOOKUP(E48, $N$2:$O$54, 2, 0)</f>
        <v>Giuseppe Bhering</v>
      </c>
      <c r="G48" s="14" t="str">
        <f t="shared" si="0"/>
        <v>1004</v>
      </c>
      <c r="H48" s="14" t="str">
        <f t="shared" si="1"/>
        <v>Apple Watch - Preto</v>
      </c>
      <c r="I48" s="14" t="str">
        <f t="shared" si="2"/>
        <v>SMW</v>
      </c>
      <c r="J48" s="14" t="str">
        <f t="shared" si="3"/>
        <v>Smart Watch</v>
      </c>
      <c r="K48" s="14" t="str">
        <f t="shared" si="4"/>
        <v>UD11</v>
      </c>
      <c r="L48" s="14" t="str">
        <f t="shared" si="5"/>
        <v>Goiânia</v>
      </c>
      <c r="N48" s="15" t="s">
        <v>192</v>
      </c>
      <c r="O48" s="15" t="s">
        <v>140</v>
      </c>
    </row>
    <row r="49" spans="1:15" x14ac:dyDescent="0.25">
      <c r="A49" s="15">
        <v>48</v>
      </c>
      <c r="B49" s="15" t="s">
        <v>288</v>
      </c>
      <c r="C49" s="15">
        <v>1</v>
      </c>
      <c r="D49" s="26">
        <v>6500</v>
      </c>
      <c r="E49" s="14" t="str">
        <f t="shared" si="6"/>
        <v>VA028</v>
      </c>
      <c r="F49" s="14" t="str">
        <f>VLOOKUP(E49, $N$2:$O$54, 2, 0)</f>
        <v>Bernardo Nauenberg</v>
      </c>
      <c r="G49" s="14" t="str">
        <f t="shared" si="0"/>
        <v>1019</v>
      </c>
      <c r="H49" s="14" t="str">
        <f t="shared" si="1"/>
        <v>iPhone XS - Preto</v>
      </c>
      <c r="I49" s="14" t="str">
        <f t="shared" si="2"/>
        <v>CLR</v>
      </c>
      <c r="J49" s="14" t="str">
        <f t="shared" si="3"/>
        <v>Celular</v>
      </c>
      <c r="K49" s="14" t="str">
        <f t="shared" si="4"/>
        <v>UD10</v>
      </c>
      <c r="L49" s="14" t="str">
        <f t="shared" si="5"/>
        <v>Niterói</v>
      </c>
      <c r="N49" s="15" t="s">
        <v>193</v>
      </c>
      <c r="O49" s="15" t="s">
        <v>141</v>
      </c>
    </row>
    <row r="50" spans="1:15" x14ac:dyDescent="0.25">
      <c r="A50" s="15">
        <v>49</v>
      </c>
      <c r="B50" s="15" t="s">
        <v>289</v>
      </c>
      <c r="C50" s="15">
        <v>2</v>
      </c>
      <c r="D50" s="26">
        <v>4600</v>
      </c>
      <c r="E50" s="14" t="str">
        <f t="shared" si="6"/>
        <v>VA001</v>
      </c>
      <c r="F50" s="14" t="str">
        <f>VLOOKUP(E50, $N$2:$O$54, 2, 0)</f>
        <v>Sthefeson Pereira</v>
      </c>
      <c r="G50" s="14" t="str">
        <f t="shared" si="0"/>
        <v>1007</v>
      </c>
      <c r="H50" s="14" t="str">
        <f t="shared" si="1"/>
        <v>Inspiron 15 - Prata</v>
      </c>
      <c r="I50" s="14" t="str">
        <f t="shared" si="2"/>
        <v>NTB</v>
      </c>
      <c r="J50" s="14" t="str">
        <f t="shared" si="3"/>
        <v>Notebook</v>
      </c>
      <c r="K50" s="14" t="str">
        <f t="shared" si="4"/>
        <v>UD06</v>
      </c>
      <c r="L50" s="14" t="str">
        <f t="shared" si="5"/>
        <v>Recife</v>
      </c>
      <c r="N50" s="15" t="s">
        <v>194</v>
      </c>
      <c r="O50" s="15" t="s">
        <v>142</v>
      </c>
    </row>
    <row r="51" spans="1:15" x14ac:dyDescent="0.25">
      <c r="A51" s="15">
        <v>50</v>
      </c>
      <c r="B51" s="15" t="s">
        <v>290</v>
      </c>
      <c r="C51" s="15">
        <v>3</v>
      </c>
      <c r="D51" s="26">
        <v>7200</v>
      </c>
      <c r="E51" s="14" t="str">
        <f t="shared" si="6"/>
        <v>VA017</v>
      </c>
      <c r="F51" s="14" t="str">
        <f>VLOOKUP(E51, $N$2:$O$54, 2, 0)</f>
        <v>Julia Penteado</v>
      </c>
      <c r="G51" s="14" t="str">
        <f t="shared" si="0"/>
        <v>1024</v>
      </c>
      <c r="H51" s="14" t="str">
        <f t="shared" si="1"/>
        <v>Aspire 5 - Cinza</v>
      </c>
      <c r="I51" s="14" t="str">
        <f t="shared" si="2"/>
        <v>NTB</v>
      </c>
      <c r="J51" s="14" t="str">
        <f t="shared" si="3"/>
        <v>Notebook</v>
      </c>
      <c r="K51" s="14" t="str">
        <f t="shared" si="4"/>
        <v>UD12</v>
      </c>
      <c r="L51" s="14" t="str">
        <f t="shared" si="5"/>
        <v>Guarulhos</v>
      </c>
      <c r="N51" s="15" t="s">
        <v>195</v>
      </c>
      <c r="O51" s="15" t="s">
        <v>143</v>
      </c>
    </row>
    <row r="52" spans="1:15" x14ac:dyDescent="0.25">
      <c r="A52" s="15">
        <v>51</v>
      </c>
      <c r="B52" s="15" t="s">
        <v>291</v>
      </c>
      <c r="C52" s="15">
        <v>1</v>
      </c>
      <c r="D52" s="26">
        <v>2600</v>
      </c>
      <c r="E52" s="14" t="str">
        <f t="shared" si="6"/>
        <v>VA019</v>
      </c>
      <c r="F52" s="14" t="str">
        <f>VLOOKUP(E52, $N$2:$O$54, 2, 0)</f>
        <v>Victor Ferreira</v>
      </c>
      <c r="G52" s="14" t="str">
        <f t="shared" si="0"/>
        <v>1001</v>
      </c>
      <c r="H52" s="14" t="str">
        <f t="shared" si="1"/>
        <v>Smart TV 50' 4K - Preto</v>
      </c>
      <c r="I52" s="14" t="str">
        <f t="shared" si="2"/>
        <v>TLV</v>
      </c>
      <c r="J52" s="14" t="str">
        <f t="shared" si="3"/>
        <v>Televisão</v>
      </c>
      <c r="K52" s="14" t="str">
        <f t="shared" si="4"/>
        <v>UD10</v>
      </c>
      <c r="L52" s="14" t="str">
        <f t="shared" si="5"/>
        <v>Niterói</v>
      </c>
      <c r="N52" s="15" t="s">
        <v>196</v>
      </c>
      <c r="O52" s="15" t="s">
        <v>144</v>
      </c>
    </row>
    <row r="53" spans="1:15" x14ac:dyDescent="0.25">
      <c r="A53" s="15">
        <v>52</v>
      </c>
      <c r="B53" s="15" t="s">
        <v>292</v>
      </c>
      <c r="C53" s="15">
        <v>5</v>
      </c>
      <c r="D53" s="26">
        <v>32500</v>
      </c>
      <c r="E53" s="14" t="str">
        <f t="shared" si="6"/>
        <v>VA047</v>
      </c>
      <c r="F53" s="14" t="str">
        <f>VLOOKUP(E53, $N$2:$O$54, 2, 0)</f>
        <v>Thayna Martins</v>
      </c>
      <c r="G53" s="14" t="str">
        <f t="shared" si="0"/>
        <v>1019</v>
      </c>
      <c r="H53" s="14" t="str">
        <f t="shared" si="1"/>
        <v>iPhone XS - Preto</v>
      </c>
      <c r="I53" s="14" t="str">
        <f t="shared" si="2"/>
        <v>CLR</v>
      </c>
      <c r="J53" s="14" t="str">
        <f t="shared" si="3"/>
        <v>Celular</v>
      </c>
      <c r="K53" s="14" t="str">
        <f t="shared" si="4"/>
        <v>UD03</v>
      </c>
      <c r="L53" s="14" t="str">
        <f t="shared" si="5"/>
        <v>Salvador</v>
      </c>
      <c r="N53" s="15" t="s">
        <v>197</v>
      </c>
      <c r="O53" s="15" t="s">
        <v>145</v>
      </c>
    </row>
    <row r="54" spans="1:15" x14ac:dyDescent="0.25">
      <c r="A54" s="15">
        <v>53</v>
      </c>
      <c r="B54" s="15" t="s">
        <v>293</v>
      </c>
      <c r="C54" s="15">
        <v>1</v>
      </c>
      <c r="D54" s="26">
        <v>1450</v>
      </c>
      <c r="E54" s="14" t="str">
        <f t="shared" si="6"/>
        <v>VA009</v>
      </c>
      <c r="F54" s="14" t="str">
        <f>VLOOKUP(E54, $N$2:$O$54, 2, 0)</f>
        <v>Chan Santos</v>
      </c>
      <c r="G54" s="14" t="str">
        <f t="shared" si="0"/>
        <v>1016</v>
      </c>
      <c r="H54" s="14" t="str">
        <f t="shared" si="1"/>
        <v>Smart Watch Galaxy - Azul</v>
      </c>
      <c r="I54" s="14" t="str">
        <f t="shared" si="2"/>
        <v>SMW</v>
      </c>
      <c r="J54" s="14" t="str">
        <f t="shared" si="3"/>
        <v>Smart Watch</v>
      </c>
      <c r="K54" s="14" t="str">
        <f t="shared" si="4"/>
        <v>UD07</v>
      </c>
      <c r="L54" s="14" t="str">
        <f t="shared" si="5"/>
        <v>Porto Alegre</v>
      </c>
      <c r="N54" s="15" t="s">
        <v>198</v>
      </c>
      <c r="O54" s="15" t="s">
        <v>146</v>
      </c>
    </row>
    <row r="55" spans="1:15" x14ac:dyDescent="0.25">
      <c r="A55" s="15">
        <v>54</v>
      </c>
      <c r="B55" s="15" t="s">
        <v>294</v>
      </c>
      <c r="C55" s="15">
        <v>1</v>
      </c>
      <c r="D55" s="26">
        <v>5500</v>
      </c>
      <c r="E55" s="14" t="str">
        <f t="shared" si="6"/>
        <v>VA045</v>
      </c>
      <c r="F55" s="14" t="str">
        <f>VLOOKUP(E55, $N$2:$O$54, 2, 0)</f>
        <v>Jéssica Resinente</v>
      </c>
      <c r="G55" s="14" t="str">
        <f t="shared" si="0"/>
        <v>1012</v>
      </c>
      <c r="H55" s="14" t="str">
        <f t="shared" si="1"/>
        <v>Dell G7 - Vermelho</v>
      </c>
      <c r="I55" s="14" t="str">
        <f t="shared" si="2"/>
        <v>NTB</v>
      </c>
      <c r="J55" s="14" t="str">
        <f t="shared" si="3"/>
        <v>Notebook</v>
      </c>
      <c r="K55" s="14" t="str">
        <f t="shared" si="4"/>
        <v>UD10</v>
      </c>
      <c r="L55" s="14" t="str">
        <f t="shared" si="5"/>
        <v>Niterói</v>
      </c>
    </row>
    <row r="56" spans="1:15" x14ac:dyDescent="0.25">
      <c r="A56" s="15">
        <v>55</v>
      </c>
      <c r="B56" s="15" t="s">
        <v>295</v>
      </c>
      <c r="C56" s="15">
        <v>3</v>
      </c>
      <c r="D56" s="26">
        <v>16500</v>
      </c>
      <c r="E56" s="14" t="str">
        <f t="shared" si="6"/>
        <v>VA013</v>
      </c>
      <c r="F56" s="14" t="str">
        <f>VLOOKUP(E56, $N$2:$O$54, 2, 0)</f>
        <v>Eduardo Silva</v>
      </c>
      <c r="G56" s="14" t="str">
        <f t="shared" si="0"/>
        <v>1012</v>
      </c>
      <c r="H56" s="14" t="str">
        <f t="shared" si="1"/>
        <v>Dell G7 - Vermelho</v>
      </c>
      <c r="I56" s="14" t="str">
        <f t="shared" si="2"/>
        <v>NTB</v>
      </c>
      <c r="J56" s="14" t="str">
        <f t="shared" si="3"/>
        <v>Notebook</v>
      </c>
      <c r="K56" s="14" t="str">
        <f t="shared" si="4"/>
        <v>UD03</v>
      </c>
      <c r="L56" s="14" t="str">
        <f t="shared" si="5"/>
        <v>Salvador</v>
      </c>
    </row>
    <row r="57" spans="1:15" x14ac:dyDescent="0.25">
      <c r="A57" s="15">
        <v>56</v>
      </c>
      <c r="B57" s="15" t="s">
        <v>296</v>
      </c>
      <c r="C57" s="15">
        <v>1</v>
      </c>
      <c r="D57" s="26">
        <v>1900</v>
      </c>
      <c r="E57" s="14" t="str">
        <f t="shared" si="6"/>
        <v>VA020</v>
      </c>
      <c r="F57" s="14" t="str">
        <f>VLOOKUP(E57, $N$2:$O$54, 2, 0)</f>
        <v>Thays Castro</v>
      </c>
      <c r="G57" s="14" t="str">
        <f t="shared" si="0"/>
        <v>1010</v>
      </c>
      <c r="H57" s="14" t="str">
        <f t="shared" si="1"/>
        <v>iPhone 6S - Rosa</v>
      </c>
      <c r="I57" s="14" t="str">
        <f t="shared" si="2"/>
        <v>CLR</v>
      </c>
      <c r="J57" s="14" t="str">
        <f t="shared" si="3"/>
        <v>Celular</v>
      </c>
      <c r="K57" s="14" t="str">
        <f t="shared" si="4"/>
        <v>UD01</v>
      </c>
      <c r="L57" s="14" t="str">
        <f t="shared" si="5"/>
        <v>Rio de Janeiro</v>
      </c>
    </row>
    <row r="58" spans="1:15" x14ac:dyDescent="0.25">
      <c r="A58" s="15">
        <v>57</v>
      </c>
      <c r="B58" s="15" t="s">
        <v>297</v>
      </c>
      <c r="C58" s="15">
        <v>1</v>
      </c>
      <c r="D58" s="26">
        <v>1450</v>
      </c>
      <c r="E58" s="14" t="str">
        <f t="shared" si="6"/>
        <v>VA013</v>
      </c>
      <c r="F58" s="14" t="str">
        <f>VLOOKUP(E58, $N$2:$O$54, 2, 0)</f>
        <v>Eduardo Silva</v>
      </c>
      <c r="G58" s="14" t="str">
        <f t="shared" si="0"/>
        <v>1016</v>
      </c>
      <c r="H58" s="14" t="str">
        <f t="shared" si="1"/>
        <v>Smart Watch Galaxy - Azul</v>
      </c>
      <c r="I58" s="14" t="str">
        <f t="shared" si="2"/>
        <v>SMW</v>
      </c>
      <c r="J58" s="14" t="str">
        <f t="shared" si="3"/>
        <v>Smart Watch</v>
      </c>
      <c r="K58" s="14" t="str">
        <f t="shared" si="4"/>
        <v>UD05</v>
      </c>
      <c r="L58" s="14" t="str">
        <f t="shared" si="5"/>
        <v>Fortaleza</v>
      </c>
    </row>
    <row r="59" spans="1:15" x14ac:dyDescent="0.25">
      <c r="A59" s="15">
        <v>58</v>
      </c>
      <c r="B59" s="15" t="s">
        <v>298</v>
      </c>
      <c r="C59" s="15">
        <v>2</v>
      </c>
      <c r="D59" s="26">
        <v>2400</v>
      </c>
      <c r="E59" s="14" t="str">
        <f t="shared" si="6"/>
        <v>VA039</v>
      </c>
      <c r="F59" s="14" t="str">
        <f>VLOOKUP(E59, $N$2:$O$54, 2, 0)</f>
        <v>Diogo Peixoto</v>
      </c>
      <c r="G59" s="14" t="str">
        <f t="shared" si="0"/>
        <v>1018</v>
      </c>
      <c r="H59" s="14" t="str">
        <f t="shared" si="1"/>
        <v>Smart Watch MI - Amarelo</v>
      </c>
      <c r="I59" s="14" t="str">
        <f t="shared" si="2"/>
        <v>SMW</v>
      </c>
      <c r="J59" s="14" t="str">
        <f t="shared" si="3"/>
        <v>Smart Watch</v>
      </c>
      <c r="K59" s="14" t="str">
        <f t="shared" si="4"/>
        <v>UD07</v>
      </c>
      <c r="L59" s="14" t="str">
        <f t="shared" si="5"/>
        <v>Porto Alegre</v>
      </c>
    </row>
    <row r="60" spans="1:15" x14ac:dyDescent="0.25">
      <c r="A60" s="15">
        <v>59</v>
      </c>
      <c r="B60" s="15" t="s">
        <v>299</v>
      </c>
      <c r="C60" s="15">
        <v>3</v>
      </c>
      <c r="D60" s="26">
        <v>5700</v>
      </c>
      <c r="E60" s="14" t="str">
        <f t="shared" si="6"/>
        <v>VA044</v>
      </c>
      <c r="F60" s="14" t="str">
        <f>VLOOKUP(E60, $N$2:$O$54, 2, 0)</f>
        <v>Juliana Correa</v>
      </c>
      <c r="G60" s="14" t="str">
        <f t="shared" si="0"/>
        <v>1010</v>
      </c>
      <c r="H60" s="14" t="str">
        <f t="shared" si="1"/>
        <v>iPhone 6S - Rosa</v>
      </c>
      <c r="I60" s="14" t="str">
        <f t="shared" si="2"/>
        <v>CLR</v>
      </c>
      <c r="J60" s="14" t="str">
        <f t="shared" si="3"/>
        <v>Celular</v>
      </c>
      <c r="K60" s="14" t="str">
        <f t="shared" si="4"/>
        <v>UD05</v>
      </c>
      <c r="L60" s="14" t="str">
        <f t="shared" si="5"/>
        <v>Fortaleza</v>
      </c>
    </row>
    <row r="61" spans="1:15" x14ac:dyDescent="0.25">
      <c r="A61" s="15">
        <v>60</v>
      </c>
      <c r="B61" s="15" t="s">
        <v>300</v>
      </c>
      <c r="C61" s="15">
        <v>1</v>
      </c>
      <c r="D61" s="26">
        <v>1550</v>
      </c>
      <c r="E61" s="14" t="str">
        <f t="shared" si="6"/>
        <v>VA004</v>
      </c>
      <c r="F61" s="14" t="str">
        <f>VLOOKUP(E61, $N$2:$O$54, 2, 0)</f>
        <v>Silvio Fahrnholz</v>
      </c>
      <c r="G61" s="14" t="str">
        <f t="shared" si="0"/>
        <v>1013</v>
      </c>
      <c r="H61" s="14" t="str">
        <f t="shared" si="1"/>
        <v>Câmera Coolpix L340 - Cinza</v>
      </c>
      <c r="I61" s="14" t="str">
        <f t="shared" si="2"/>
        <v>CAM</v>
      </c>
      <c r="J61" s="14" t="str">
        <f t="shared" si="3"/>
        <v>Câmera</v>
      </c>
      <c r="K61" s="14" t="str">
        <f t="shared" si="4"/>
        <v>UD08</v>
      </c>
      <c r="L61" s="14" t="str">
        <f t="shared" si="5"/>
        <v>Nova Iguaçu</v>
      </c>
    </row>
    <row r="62" spans="1:15" x14ac:dyDescent="0.25">
      <c r="A62" s="15">
        <v>61</v>
      </c>
      <c r="B62" s="15" t="s">
        <v>301</v>
      </c>
      <c r="C62" s="15">
        <v>5</v>
      </c>
      <c r="D62" s="26">
        <v>12000</v>
      </c>
      <c r="E62" s="14" t="str">
        <f t="shared" si="6"/>
        <v>VA001</v>
      </c>
      <c r="F62" s="14" t="str">
        <f>VLOOKUP(E62, $N$2:$O$54, 2, 0)</f>
        <v>Sthefeson Pereira</v>
      </c>
      <c r="G62" s="14" t="str">
        <f t="shared" si="0"/>
        <v>1024</v>
      </c>
      <c r="H62" s="14" t="str">
        <f t="shared" si="1"/>
        <v>Aspire 5 - Cinza</v>
      </c>
      <c r="I62" s="14" t="str">
        <f t="shared" si="2"/>
        <v>NTB</v>
      </c>
      <c r="J62" s="14" t="str">
        <f t="shared" si="3"/>
        <v>Notebook</v>
      </c>
      <c r="K62" s="14" t="str">
        <f t="shared" si="4"/>
        <v>UD13</v>
      </c>
      <c r="L62" s="14" t="str">
        <f t="shared" si="5"/>
        <v>Campinas</v>
      </c>
    </row>
    <row r="63" spans="1:15" x14ac:dyDescent="0.25">
      <c r="A63" s="15">
        <v>62</v>
      </c>
      <c r="B63" s="15" t="s">
        <v>302</v>
      </c>
      <c r="C63" s="15">
        <v>1</v>
      </c>
      <c r="D63" s="26">
        <v>1500</v>
      </c>
      <c r="E63" s="14" t="str">
        <f t="shared" si="6"/>
        <v>VA021</v>
      </c>
      <c r="F63" s="14" t="str">
        <f>VLOOKUP(E63, $N$2:$O$54, 2, 0)</f>
        <v>Ruan Lopes</v>
      </c>
      <c r="G63" s="14" t="str">
        <f t="shared" si="0"/>
        <v>1005</v>
      </c>
      <c r="H63" s="14" t="str">
        <f t="shared" si="1"/>
        <v>Câmera Digital Rebel T6 - Preto</v>
      </c>
      <c r="I63" s="14" t="str">
        <f t="shared" si="2"/>
        <v>CAM</v>
      </c>
      <c r="J63" s="14" t="str">
        <f t="shared" si="3"/>
        <v>Câmera</v>
      </c>
      <c r="K63" s="14" t="str">
        <f t="shared" si="4"/>
        <v>UD01</v>
      </c>
      <c r="L63" s="14" t="str">
        <f t="shared" si="5"/>
        <v>Rio de Janeiro</v>
      </c>
    </row>
    <row r="64" spans="1:15" x14ac:dyDescent="0.25">
      <c r="A64" s="15">
        <v>63</v>
      </c>
      <c r="B64" s="15" t="s">
        <v>303</v>
      </c>
      <c r="C64" s="15">
        <v>1</v>
      </c>
      <c r="D64" s="26">
        <v>750</v>
      </c>
      <c r="E64" s="14" t="str">
        <f t="shared" si="6"/>
        <v>VA015</v>
      </c>
      <c r="F64" s="14" t="str">
        <f>VLOOKUP(E64, $N$2:$O$54, 2, 0)</f>
        <v>Caio Caldas</v>
      </c>
      <c r="G64" s="14" t="str">
        <f t="shared" si="0"/>
        <v>1022</v>
      </c>
      <c r="H64" s="14" t="str">
        <f t="shared" si="1"/>
        <v>iPad 32GB Wifi - Prata</v>
      </c>
      <c r="I64" s="14" t="str">
        <f t="shared" si="2"/>
        <v>TBL</v>
      </c>
      <c r="J64" s="14" t="str">
        <f t="shared" si="3"/>
        <v>Tablet</v>
      </c>
      <c r="K64" s="14" t="str">
        <f t="shared" si="4"/>
        <v>UD06</v>
      </c>
      <c r="L64" s="14" t="str">
        <f t="shared" si="5"/>
        <v>Recife</v>
      </c>
    </row>
    <row r="65" spans="1:12" x14ac:dyDescent="0.25">
      <c r="A65" s="15">
        <v>64</v>
      </c>
      <c r="B65" s="15" t="s">
        <v>304</v>
      </c>
      <c r="C65" s="15">
        <v>1</v>
      </c>
      <c r="D65" s="26">
        <v>1500</v>
      </c>
      <c r="E65" s="14" t="str">
        <f t="shared" si="6"/>
        <v>VA036</v>
      </c>
      <c r="F65" s="14" t="str">
        <f>VLOOKUP(E65, $N$2:$O$54, 2, 0)</f>
        <v>Luíza Melo</v>
      </c>
      <c r="G65" s="14" t="str">
        <f t="shared" si="0"/>
        <v>1005</v>
      </c>
      <c r="H65" s="14" t="str">
        <f t="shared" si="1"/>
        <v>Câmera Digital Rebel T6 - Preto</v>
      </c>
      <c r="I65" s="14" t="str">
        <f t="shared" si="2"/>
        <v>CAM</v>
      </c>
      <c r="J65" s="14" t="str">
        <f t="shared" si="3"/>
        <v>Câmera</v>
      </c>
      <c r="K65" s="14" t="str">
        <f t="shared" si="4"/>
        <v>UD06</v>
      </c>
      <c r="L65" s="14" t="str">
        <f t="shared" si="5"/>
        <v>Recife</v>
      </c>
    </row>
    <row r="66" spans="1:12" x14ac:dyDescent="0.25">
      <c r="A66" s="15">
        <v>65</v>
      </c>
      <c r="B66" s="15" t="s">
        <v>305</v>
      </c>
      <c r="C66" s="15">
        <v>5</v>
      </c>
      <c r="D66" s="26">
        <v>26000</v>
      </c>
      <c r="E66" s="14" t="str">
        <f t="shared" si="6"/>
        <v>VA038</v>
      </c>
      <c r="F66" s="14" t="str">
        <f>VLOOKUP(E66, $N$2:$O$54, 2, 0)</f>
        <v>Bianca Procaci</v>
      </c>
      <c r="G66" s="14" t="str">
        <f t="shared" si="0"/>
        <v>1017</v>
      </c>
      <c r="H66" s="14" t="str">
        <f t="shared" si="1"/>
        <v>Smart TV 75' 4K - Preto</v>
      </c>
      <c r="I66" s="14" t="str">
        <f t="shared" si="2"/>
        <v>TLV</v>
      </c>
      <c r="J66" s="14" t="str">
        <f t="shared" si="3"/>
        <v>Televisão</v>
      </c>
      <c r="K66" s="14" t="str">
        <f t="shared" si="4"/>
        <v>UD09</v>
      </c>
      <c r="L66" s="14" t="str">
        <f t="shared" si="5"/>
        <v>São Paulo</v>
      </c>
    </row>
    <row r="67" spans="1:12" x14ac:dyDescent="0.25">
      <c r="A67" s="15">
        <v>66</v>
      </c>
      <c r="B67" s="15" t="s">
        <v>306</v>
      </c>
      <c r="C67" s="15">
        <v>3</v>
      </c>
      <c r="D67" s="26">
        <v>4500</v>
      </c>
      <c r="E67" s="14" t="str">
        <f t="shared" ref="E67:E130" si="7">LEFT(B67, 5)</f>
        <v>VA025</v>
      </c>
      <c r="F67" s="14" t="str">
        <f t="shared" ref="F67:F130" si="8">VLOOKUP(E67, $N$2:$O$54, 2, 0)</f>
        <v>Manuela Merege</v>
      </c>
      <c r="G67" s="14" t="str">
        <f t="shared" ref="G67:G130" si="9">MID(B67, 6, 4)</f>
        <v>1005</v>
      </c>
      <c r="H67" s="14" t="str">
        <f t="shared" ref="H67:H130" si="10">VLOOKUP(G67,  $Q:$U, 2, 0)</f>
        <v>Câmera Digital Rebel T6 - Preto</v>
      </c>
      <c r="I67" s="14" t="str">
        <f t="shared" ref="I67:I130" si="11">MID(B67, 10, 3)</f>
        <v>CAM</v>
      </c>
      <c r="J67" s="14" t="str">
        <f t="shared" ref="J67:J130" si="12">VLOOKUP(I67, $W:$X, 2, 0)</f>
        <v>Câmera</v>
      </c>
      <c r="K67" s="14" t="str">
        <f t="shared" ref="K67:K130" si="13">RIGHT(B67, 4)</f>
        <v>UD07</v>
      </c>
      <c r="L67" s="14" t="str">
        <f t="shared" ref="L67:L130" si="14">VLOOKUP(K67, $Z:$AA, 2, 0)</f>
        <v>Porto Alegre</v>
      </c>
    </row>
    <row r="68" spans="1:12" x14ac:dyDescent="0.25">
      <c r="A68" s="15">
        <v>67</v>
      </c>
      <c r="B68" s="15" t="s">
        <v>307</v>
      </c>
      <c r="C68" s="15">
        <v>1</v>
      </c>
      <c r="D68" s="26">
        <v>1900</v>
      </c>
      <c r="E68" s="14" t="str">
        <f t="shared" si="7"/>
        <v>VA046</v>
      </c>
      <c r="F68" s="14" t="str">
        <f t="shared" si="8"/>
        <v>Adrielle Forte</v>
      </c>
      <c r="G68" s="14" t="str">
        <f t="shared" si="9"/>
        <v>1010</v>
      </c>
      <c r="H68" s="14" t="str">
        <f t="shared" si="10"/>
        <v>iPhone 6S - Rosa</v>
      </c>
      <c r="I68" s="14" t="str">
        <f t="shared" si="11"/>
        <v>CLR</v>
      </c>
      <c r="J68" s="14" t="str">
        <f t="shared" si="12"/>
        <v>Celular</v>
      </c>
      <c r="K68" s="14" t="str">
        <f t="shared" si="13"/>
        <v>UD03</v>
      </c>
      <c r="L68" s="14" t="str">
        <f t="shared" si="14"/>
        <v>Salvador</v>
      </c>
    </row>
    <row r="69" spans="1:12" x14ac:dyDescent="0.25">
      <c r="A69" s="15">
        <v>68</v>
      </c>
      <c r="B69" s="15" t="s">
        <v>308</v>
      </c>
      <c r="C69" s="15">
        <v>4</v>
      </c>
      <c r="D69" s="26">
        <v>4800</v>
      </c>
      <c r="E69" s="14" t="str">
        <f t="shared" si="7"/>
        <v>VA040</v>
      </c>
      <c r="F69" s="14" t="str">
        <f t="shared" si="8"/>
        <v>Cícero Lima</v>
      </c>
      <c r="G69" s="14" t="str">
        <f t="shared" si="9"/>
        <v>1018</v>
      </c>
      <c r="H69" s="14" t="str">
        <f t="shared" si="10"/>
        <v>Smart Watch MI - Amarelo</v>
      </c>
      <c r="I69" s="14" t="str">
        <f t="shared" si="11"/>
        <v>SMW</v>
      </c>
      <c r="J69" s="14" t="str">
        <f t="shared" si="12"/>
        <v>Smart Watch</v>
      </c>
      <c r="K69" s="14" t="str">
        <f t="shared" si="13"/>
        <v>UD05</v>
      </c>
      <c r="L69" s="14" t="str">
        <f t="shared" si="14"/>
        <v>Fortaleza</v>
      </c>
    </row>
    <row r="70" spans="1:12" x14ac:dyDescent="0.25">
      <c r="A70" s="15">
        <v>69</v>
      </c>
      <c r="B70" s="15" t="s">
        <v>309</v>
      </c>
      <c r="C70" s="15">
        <v>1</v>
      </c>
      <c r="D70" s="26">
        <v>5500</v>
      </c>
      <c r="E70" s="14" t="str">
        <f t="shared" si="7"/>
        <v>VA005</v>
      </c>
      <c r="F70" s="14" t="str">
        <f t="shared" si="8"/>
        <v>Luiza Cabral</v>
      </c>
      <c r="G70" s="14" t="str">
        <f t="shared" si="9"/>
        <v>1012</v>
      </c>
      <c r="H70" s="14" t="str">
        <f t="shared" si="10"/>
        <v>Dell G7 - Vermelho</v>
      </c>
      <c r="I70" s="14" t="str">
        <f t="shared" si="11"/>
        <v>NTB</v>
      </c>
      <c r="J70" s="14" t="str">
        <f t="shared" si="12"/>
        <v>Notebook</v>
      </c>
      <c r="K70" s="14" t="str">
        <f t="shared" si="13"/>
        <v>UD10</v>
      </c>
      <c r="L70" s="14" t="str">
        <f t="shared" si="14"/>
        <v>Niterói</v>
      </c>
    </row>
    <row r="71" spans="1:12" x14ac:dyDescent="0.25">
      <c r="A71" s="15">
        <v>70</v>
      </c>
      <c r="B71" s="15" t="s">
        <v>310</v>
      </c>
      <c r="C71" s="15">
        <v>1</v>
      </c>
      <c r="D71" s="26">
        <v>1550</v>
      </c>
      <c r="E71" s="14" t="str">
        <f t="shared" si="7"/>
        <v>VA028</v>
      </c>
      <c r="F71" s="14" t="str">
        <f t="shared" si="8"/>
        <v>Bernardo Nauenberg</v>
      </c>
      <c r="G71" s="14" t="str">
        <f t="shared" si="9"/>
        <v>1013</v>
      </c>
      <c r="H71" s="14" t="str">
        <f t="shared" si="10"/>
        <v>Câmera Coolpix L340 - Cinza</v>
      </c>
      <c r="I71" s="14" t="str">
        <f t="shared" si="11"/>
        <v>CAM</v>
      </c>
      <c r="J71" s="14" t="str">
        <f t="shared" si="12"/>
        <v>Câmera</v>
      </c>
      <c r="K71" s="14" t="str">
        <f t="shared" si="13"/>
        <v>UD07</v>
      </c>
      <c r="L71" s="14" t="str">
        <f t="shared" si="14"/>
        <v>Porto Alegre</v>
      </c>
    </row>
    <row r="72" spans="1:12" x14ac:dyDescent="0.25">
      <c r="A72" s="15">
        <v>71</v>
      </c>
      <c r="B72" s="15" t="s">
        <v>311</v>
      </c>
      <c r="C72" s="15">
        <v>1</v>
      </c>
      <c r="D72" s="26">
        <v>1500</v>
      </c>
      <c r="E72" s="14" t="str">
        <f t="shared" si="7"/>
        <v>VA046</v>
      </c>
      <c r="F72" s="14" t="str">
        <f t="shared" si="8"/>
        <v>Adrielle Forte</v>
      </c>
      <c r="G72" s="14" t="str">
        <f t="shared" si="9"/>
        <v>1020</v>
      </c>
      <c r="H72" s="14" t="str">
        <f t="shared" si="10"/>
        <v>Moto Z - Vermelho</v>
      </c>
      <c r="I72" s="14" t="str">
        <f t="shared" si="11"/>
        <v>CLR</v>
      </c>
      <c r="J72" s="14" t="str">
        <f t="shared" si="12"/>
        <v>Celular</v>
      </c>
      <c r="K72" s="14" t="str">
        <f t="shared" si="13"/>
        <v>UD08</v>
      </c>
      <c r="L72" s="14" t="str">
        <f t="shared" si="14"/>
        <v>Nova Iguaçu</v>
      </c>
    </row>
    <row r="73" spans="1:12" x14ac:dyDescent="0.25">
      <c r="A73" s="15">
        <v>72</v>
      </c>
      <c r="B73" s="15" t="s">
        <v>312</v>
      </c>
      <c r="C73" s="15">
        <v>1</v>
      </c>
      <c r="D73" s="26">
        <v>2500</v>
      </c>
      <c r="E73" s="14" t="str">
        <f t="shared" si="7"/>
        <v>VA026</v>
      </c>
      <c r="F73" s="14" t="str">
        <f t="shared" si="8"/>
        <v>Bruna Ramos</v>
      </c>
      <c r="G73" s="14" t="str">
        <f t="shared" si="9"/>
        <v>1002</v>
      </c>
      <c r="H73" s="14" t="str">
        <f t="shared" si="10"/>
        <v>iPhone 7 - Dourado</v>
      </c>
      <c r="I73" s="14" t="str">
        <f t="shared" si="11"/>
        <v>CLR</v>
      </c>
      <c r="J73" s="14" t="str">
        <f t="shared" si="12"/>
        <v>Celular</v>
      </c>
      <c r="K73" s="14" t="str">
        <f t="shared" si="13"/>
        <v>UD06</v>
      </c>
      <c r="L73" s="14" t="str">
        <f t="shared" si="14"/>
        <v>Recife</v>
      </c>
    </row>
    <row r="74" spans="1:12" x14ac:dyDescent="0.25">
      <c r="A74" s="15">
        <v>73</v>
      </c>
      <c r="B74" s="15" t="s">
        <v>313</v>
      </c>
      <c r="C74" s="15">
        <v>1</v>
      </c>
      <c r="D74" s="26">
        <v>2000</v>
      </c>
      <c r="E74" s="14" t="str">
        <f t="shared" si="7"/>
        <v>VA012</v>
      </c>
      <c r="F74" s="14" t="str">
        <f t="shared" si="8"/>
        <v>Arthur Rocha</v>
      </c>
      <c r="G74" s="14" t="str">
        <f t="shared" si="9"/>
        <v>1008</v>
      </c>
      <c r="H74" s="14" t="str">
        <f t="shared" si="10"/>
        <v>Smart TV LED Full HD 55' - Preto</v>
      </c>
      <c r="I74" s="14" t="str">
        <f t="shared" si="11"/>
        <v>TLV</v>
      </c>
      <c r="J74" s="14" t="str">
        <f t="shared" si="12"/>
        <v>Televisão</v>
      </c>
      <c r="K74" s="14" t="str">
        <f t="shared" si="13"/>
        <v>UD09</v>
      </c>
      <c r="L74" s="14" t="str">
        <f t="shared" si="14"/>
        <v>São Paulo</v>
      </c>
    </row>
    <row r="75" spans="1:12" x14ac:dyDescent="0.25">
      <c r="A75" s="15">
        <v>74</v>
      </c>
      <c r="B75" s="15" t="s">
        <v>314</v>
      </c>
      <c r="C75" s="15">
        <v>1</v>
      </c>
      <c r="D75" s="26">
        <v>700</v>
      </c>
      <c r="E75" s="14" t="str">
        <f t="shared" si="7"/>
        <v>VA020</v>
      </c>
      <c r="F75" s="14" t="str">
        <f t="shared" si="8"/>
        <v>Thays Castro</v>
      </c>
      <c r="G75" s="14" t="str">
        <f t="shared" si="9"/>
        <v>1015</v>
      </c>
      <c r="H75" s="14" t="str">
        <f t="shared" si="10"/>
        <v>Câmera Digital Sony Cyber - Azul</v>
      </c>
      <c r="I75" s="14" t="str">
        <f t="shared" si="11"/>
        <v>CAM</v>
      </c>
      <c r="J75" s="14" t="str">
        <f t="shared" si="12"/>
        <v>Câmera</v>
      </c>
      <c r="K75" s="14" t="str">
        <f t="shared" si="13"/>
        <v>UD06</v>
      </c>
      <c r="L75" s="14" t="str">
        <f t="shared" si="14"/>
        <v>Recife</v>
      </c>
    </row>
    <row r="76" spans="1:12" x14ac:dyDescent="0.25">
      <c r="A76" s="15">
        <v>75</v>
      </c>
      <c r="B76" s="15" t="s">
        <v>315</v>
      </c>
      <c r="C76" s="15">
        <v>5</v>
      </c>
      <c r="D76" s="26">
        <v>3500</v>
      </c>
      <c r="E76" s="14" t="str">
        <f t="shared" si="7"/>
        <v>VA018</v>
      </c>
      <c r="F76" s="14" t="str">
        <f t="shared" si="8"/>
        <v>Bernardo Botelho</v>
      </c>
      <c r="G76" s="14" t="str">
        <f t="shared" si="9"/>
        <v>1015</v>
      </c>
      <c r="H76" s="14" t="str">
        <f t="shared" si="10"/>
        <v>Câmera Digital Sony Cyber - Azul</v>
      </c>
      <c r="I76" s="14" t="str">
        <f t="shared" si="11"/>
        <v>CAM</v>
      </c>
      <c r="J76" s="14" t="str">
        <f t="shared" si="12"/>
        <v>Câmera</v>
      </c>
      <c r="K76" s="14" t="str">
        <f t="shared" si="13"/>
        <v>UD10</v>
      </c>
      <c r="L76" s="14" t="str">
        <f t="shared" si="14"/>
        <v>Niterói</v>
      </c>
    </row>
    <row r="77" spans="1:12" x14ac:dyDescent="0.25">
      <c r="A77" s="15">
        <v>76</v>
      </c>
      <c r="B77" s="15" t="s">
        <v>316</v>
      </c>
      <c r="C77" s="15">
        <v>3</v>
      </c>
      <c r="D77" s="26">
        <v>4500</v>
      </c>
      <c r="E77" s="14" t="str">
        <f t="shared" si="7"/>
        <v>VA030</v>
      </c>
      <c r="F77" s="14" t="str">
        <f t="shared" si="8"/>
        <v>Pedro Macckione</v>
      </c>
      <c r="G77" s="14" t="str">
        <f t="shared" si="9"/>
        <v>1005</v>
      </c>
      <c r="H77" s="14" t="str">
        <f t="shared" si="10"/>
        <v>Câmera Digital Rebel T6 - Preto</v>
      </c>
      <c r="I77" s="14" t="str">
        <f t="shared" si="11"/>
        <v>CAM</v>
      </c>
      <c r="J77" s="14" t="str">
        <f t="shared" si="12"/>
        <v>Câmera</v>
      </c>
      <c r="K77" s="14" t="str">
        <f t="shared" si="13"/>
        <v>UD07</v>
      </c>
      <c r="L77" s="14" t="str">
        <f t="shared" si="14"/>
        <v>Porto Alegre</v>
      </c>
    </row>
    <row r="78" spans="1:12" x14ac:dyDescent="0.25">
      <c r="A78" s="15">
        <v>77</v>
      </c>
      <c r="B78" s="15" t="s">
        <v>317</v>
      </c>
      <c r="C78" s="15">
        <v>2</v>
      </c>
      <c r="D78" s="26">
        <v>11000</v>
      </c>
      <c r="E78" s="14" t="str">
        <f t="shared" si="7"/>
        <v>VA046</v>
      </c>
      <c r="F78" s="14" t="str">
        <f t="shared" si="8"/>
        <v>Adrielle Forte</v>
      </c>
      <c r="G78" s="14" t="str">
        <f t="shared" si="9"/>
        <v>1012</v>
      </c>
      <c r="H78" s="14" t="str">
        <f t="shared" si="10"/>
        <v>Dell G7 - Vermelho</v>
      </c>
      <c r="I78" s="14" t="str">
        <f t="shared" si="11"/>
        <v>NTB</v>
      </c>
      <c r="J78" s="14" t="str">
        <f t="shared" si="12"/>
        <v>Notebook</v>
      </c>
      <c r="K78" s="14" t="str">
        <f t="shared" si="13"/>
        <v>UD03</v>
      </c>
      <c r="L78" s="14" t="str">
        <f t="shared" si="14"/>
        <v>Salvador</v>
      </c>
    </row>
    <row r="79" spans="1:12" x14ac:dyDescent="0.25">
      <c r="A79" s="15">
        <v>78</v>
      </c>
      <c r="B79" s="15" t="s">
        <v>318</v>
      </c>
      <c r="C79" s="15">
        <v>4</v>
      </c>
      <c r="D79" s="26">
        <v>2800</v>
      </c>
      <c r="E79" s="14" t="str">
        <f t="shared" si="7"/>
        <v>VA007</v>
      </c>
      <c r="F79" s="14" t="str">
        <f t="shared" si="8"/>
        <v>Natalia Marinho</v>
      </c>
      <c r="G79" s="14" t="str">
        <f t="shared" si="9"/>
        <v>1015</v>
      </c>
      <c r="H79" s="14" t="str">
        <f t="shared" si="10"/>
        <v>Câmera Digital Sony Cyber - Azul</v>
      </c>
      <c r="I79" s="14" t="str">
        <f t="shared" si="11"/>
        <v>CAM</v>
      </c>
      <c r="J79" s="14" t="str">
        <f t="shared" si="12"/>
        <v>Câmera</v>
      </c>
      <c r="K79" s="14" t="str">
        <f t="shared" si="13"/>
        <v>UD11</v>
      </c>
      <c r="L79" s="14" t="str">
        <f t="shared" si="14"/>
        <v>Goiânia</v>
      </c>
    </row>
    <row r="80" spans="1:12" x14ac:dyDescent="0.25">
      <c r="A80" s="15">
        <v>79</v>
      </c>
      <c r="B80" s="15" t="s">
        <v>319</v>
      </c>
      <c r="C80" s="15">
        <v>1</v>
      </c>
      <c r="D80" s="26">
        <v>700</v>
      </c>
      <c r="E80" s="14" t="str">
        <f t="shared" si="7"/>
        <v>VA034</v>
      </c>
      <c r="F80" s="14" t="str">
        <f t="shared" si="8"/>
        <v>Wilson Vianna</v>
      </c>
      <c r="G80" s="14" t="str">
        <f t="shared" si="9"/>
        <v>1015</v>
      </c>
      <c r="H80" s="14" t="str">
        <f t="shared" si="10"/>
        <v>Câmera Digital Sony Cyber - Azul</v>
      </c>
      <c r="I80" s="14" t="str">
        <f t="shared" si="11"/>
        <v>CAM</v>
      </c>
      <c r="J80" s="14" t="str">
        <f t="shared" si="12"/>
        <v>Câmera</v>
      </c>
      <c r="K80" s="14" t="str">
        <f t="shared" si="13"/>
        <v>UD08</v>
      </c>
      <c r="L80" s="14" t="str">
        <f t="shared" si="14"/>
        <v>Nova Iguaçu</v>
      </c>
    </row>
    <row r="81" spans="1:12" x14ac:dyDescent="0.25">
      <c r="A81" s="15">
        <v>80</v>
      </c>
      <c r="B81" s="15" t="s">
        <v>320</v>
      </c>
      <c r="C81" s="15">
        <v>1</v>
      </c>
      <c r="D81" s="26">
        <v>2000</v>
      </c>
      <c r="E81" s="14" t="str">
        <f t="shared" si="7"/>
        <v>VA043</v>
      </c>
      <c r="F81" s="14" t="str">
        <f t="shared" si="8"/>
        <v>Manuela Ferreira</v>
      </c>
      <c r="G81" s="14" t="str">
        <f t="shared" si="9"/>
        <v>1008</v>
      </c>
      <c r="H81" s="14" t="str">
        <f t="shared" si="10"/>
        <v>Smart TV LED Full HD 55' - Preto</v>
      </c>
      <c r="I81" s="14" t="str">
        <f t="shared" si="11"/>
        <v>TLV</v>
      </c>
      <c r="J81" s="14" t="str">
        <f t="shared" si="12"/>
        <v>Televisão</v>
      </c>
      <c r="K81" s="14" t="str">
        <f t="shared" si="13"/>
        <v>UD08</v>
      </c>
      <c r="L81" s="14" t="str">
        <f t="shared" si="14"/>
        <v>Nova Iguaçu</v>
      </c>
    </row>
    <row r="82" spans="1:12" x14ac:dyDescent="0.25">
      <c r="A82" s="15">
        <v>81</v>
      </c>
      <c r="B82" s="15" t="s">
        <v>321</v>
      </c>
      <c r="C82" s="15">
        <v>4</v>
      </c>
      <c r="D82" s="26">
        <v>7600</v>
      </c>
      <c r="E82" s="14" t="str">
        <f t="shared" si="7"/>
        <v>VA028</v>
      </c>
      <c r="F82" s="14" t="str">
        <f t="shared" si="8"/>
        <v>Bernardo Nauenberg</v>
      </c>
      <c r="G82" s="14" t="str">
        <f t="shared" si="9"/>
        <v>1010</v>
      </c>
      <c r="H82" s="14" t="str">
        <f t="shared" si="10"/>
        <v>iPhone 6S - Rosa</v>
      </c>
      <c r="I82" s="14" t="str">
        <f t="shared" si="11"/>
        <v>CLR</v>
      </c>
      <c r="J82" s="14" t="str">
        <f t="shared" si="12"/>
        <v>Celular</v>
      </c>
      <c r="K82" s="14" t="str">
        <f t="shared" si="13"/>
        <v>UD06</v>
      </c>
      <c r="L82" s="14" t="str">
        <f t="shared" si="14"/>
        <v>Recife</v>
      </c>
    </row>
    <row r="83" spans="1:12" x14ac:dyDescent="0.25">
      <c r="A83" s="15">
        <v>82</v>
      </c>
      <c r="B83" s="15" t="s">
        <v>322</v>
      </c>
      <c r="C83" s="15">
        <v>1</v>
      </c>
      <c r="D83" s="26">
        <v>5500</v>
      </c>
      <c r="E83" s="14" t="str">
        <f t="shared" si="7"/>
        <v>VA018</v>
      </c>
      <c r="F83" s="14" t="str">
        <f t="shared" si="8"/>
        <v>Bernardo Botelho</v>
      </c>
      <c r="G83" s="14" t="str">
        <f t="shared" si="9"/>
        <v>1012</v>
      </c>
      <c r="H83" s="14" t="str">
        <f t="shared" si="10"/>
        <v>Dell G7 - Vermelho</v>
      </c>
      <c r="I83" s="14" t="str">
        <f t="shared" si="11"/>
        <v>NTB</v>
      </c>
      <c r="J83" s="14" t="str">
        <f t="shared" si="12"/>
        <v>Notebook</v>
      </c>
      <c r="K83" s="14" t="str">
        <f t="shared" si="13"/>
        <v>UD05</v>
      </c>
      <c r="L83" s="14" t="str">
        <f t="shared" si="14"/>
        <v>Fortaleza</v>
      </c>
    </row>
    <row r="84" spans="1:12" x14ac:dyDescent="0.25">
      <c r="A84" s="15">
        <v>83</v>
      </c>
      <c r="B84" s="15" t="s">
        <v>323</v>
      </c>
      <c r="C84" s="15">
        <v>1</v>
      </c>
      <c r="D84" s="26">
        <v>6500</v>
      </c>
      <c r="E84" s="14" t="str">
        <f t="shared" si="7"/>
        <v>VA013</v>
      </c>
      <c r="F84" s="14" t="str">
        <f t="shared" si="8"/>
        <v>Eduardo Silva</v>
      </c>
      <c r="G84" s="14" t="str">
        <f t="shared" si="9"/>
        <v>1019</v>
      </c>
      <c r="H84" s="14" t="str">
        <f t="shared" si="10"/>
        <v>iPhone XS - Preto</v>
      </c>
      <c r="I84" s="14" t="str">
        <f t="shared" si="11"/>
        <v>CLR</v>
      </c>
      <c r="J84" s="14" t="str">
        <f t="shared" si="12"/>
        <v>Celular</v>
      </c>
      <c r="K84" s="14" t="str">
        <f t="shared" si="13"/>
        <v>UD13</v>
      </c>
      <c r="L84" s="14" t="str">
        <f t="shared" si="14"/>
        <v>Campinas</v>
      </c>
    </row>
    <row r="85" spans="1:12" x14ac:dyDescent="0.25">
      <c r="A85" s="15">
        <v>84</v>
      </c>
      <c r="B85" s="15" t="s">
        <v>324</v>
      </c>
      <c r="C85" s="15">
        <v>1</v>
      </c>
      <c r="D85" s="26">
        <v>3000</v>
      </c>
      <c r="E85" s="14" t="str">
        <f t="shared" si="7"/>
        <v>VA028</v>
      </c>
      <c r="F85" s="14" t="str">
        <f t="shared" si="8"/>
        <v>Bernardo Nauenberg</v>
      </c>
      <c r="G85" s="14" t="str">
        <f t="shared" si="9"/>
        <v>1021</v>
      </c>
      <c r="H85" s="14" t="str">
        <f t="shared" si="10"/>
        <v>Galaxy S8 - Verde</v>
      </c>
      <c r="I85" s="14" t="str">
        <f t="shared" si="11"/>
        <v>CLR</v>
      </c>
      <c r="J85" s="14" t="str">
        <f t="shared" si="12"/>
        <v>Celular</v>
      </c>
      <c r="K85" s="14" t="str">
        <f t="shared" si="13"/>
        <v>UD13</v>
      </c>
      <c r="L85" s="14" t="str">
        <f t="shared" si="14"/>
        <v>Campinas</v>
      </c>
    </row>
    <row r="86" spans="1:12" x14ac:dyDescent="0.25">
      <c r="A86" s="15">
        <v>85</v>
      </c>
      <c r="B86" s="15" t="s">
        <v>325</v>
      </c>
      <c r="C86" s="15">
        <v>2</v>
      </c>
      <c r="D86" s="26">
        <v>5000</v>
      </c>
      <c r="E86" s="14" t="str">
        <f t="shared" si="7"/>
        <v>VA002</v>
      </c>
      <c r="F86" s="14" t="str">
        <f t="shared" si="8"/>
        <v>Antonio Manhães</v>
      </c>
      <c r="G86" s="14" t="str">
        <f t="shared" si="9"/>
        <v>1002</v>
      </c>
      <c r="H86" s="14" t="str">
        <f t="shared" si="10"/>
        <v>iPhone 7 - Dourado</v>
      </c>
      <c r="I86" s="14" t="str">
        <f t="shared" si="11"/>
        <v>CLR</v>
      </c>
      <c r="J86" s="14" t="str">
        <f t="shared" si="12"/>
        <v>Celular</v>
      </c>
      <c r="K86" s="14" t="str">
        <f t="shared" si="13"/>
        <v>UD02</v>
      </c>
      <c r="L86" s="14" t="str">
        <f t="shared" si="14"/>
        <v>Belo Horizonte</v>
      </c>
    </row>
    <row r="87" spans="1:12" x14ac:dyDescent="0.25">
      <c r="A87" s="15">
        <v>86</v>
      </c>
      <c r="B87" s="15" t="s">
        <v>326</v>
      </c>
      <c r="C87" s="15">
        <v>1</v>
      </c>
      <c r="D87" s="26">
        <v>2000</v>
      </c>
      <c r="E87" s="14" t="str">
        <f t="shared" si="7"/>
        <v>VA026</v>
      </c>
      <c r="F87" s="14" t="str">
        <f t="shared" si="8"/>
        <v>Bruna Ramos</v>
      </c>
      <c r="G87" s="14" t="str">
        <f t="shared" si="9"/>
        <v>1011</v>
      </c>
      <c r="H87" s="14" t="str">
        <f t="shared" si="10"/>
        <v>Tablet M10 Android - Preto</v>
      </c>
      <c r="I87" s="14" t="str">
        <f t="shared" si="11"/>
        <v>TBL</v>
      </c>
      <c r="J87" s="14" t="str">
        <f t="shared" si="12"/>
        <v>Tablet</v>
      </c>
      <c r="K87" s="14" t="str">
        <f t="shared" si="13"/>
        <v>UD10</v>
      </c>
      <c r="L87" s="14" t="str">
        <f t="shared" si="14"/>
        <v>Niterói</v>
      </c>
    </row>
    <row r="88" spans="1:12" x14ac:dyDescent="0.25">
      <c r="A88" s="15">
        <v>87</v>
      </c>
      <c r="B88" s="15" t="s">
        <v>327</v>
      </c>
      <c r="C88" s="15">
        <v>2</v>
      </c>
      <c r="D88" s="26">
        <v>1400</v>
      </c>
      <c r="E88" s="14" t="str">
        <f t="shared" si="7"/>
        <v>VA018</v>
      </c>
      <c r="F88" s="14" t="str">
        <f t="shared" si="8"/>
        <v>Bernardo Botelho</v>
      </c>
      <c r="G88" s="14" t="str">
        <f t="shared" si="9"/>
        <v>1015</v>
      </c>
      <c r="H88" s="14" t="str">
        <f t="shared" si="10"/>
        <v>Câmera Digital Sony Cyber - Azul</v>
      </c>
      <c r="I88" s="14" t="str">
        <f t="shared" si="11"/>
        <v>CAM</v>
      </c>
      <c r="J88" s="14" t="str">
        <f t="shared" si="12"/>
        <v>Câmera</v>
      </c>
      <c r="K88" s="14" t="str">
        <f t="shared" si="13"/>
        <v>UD06</v>
      </c>
      <c r="L88" s="14" t="str">
        <f t="shared" si="14"/>
        <v>Recife</v>
      </c>
    </row>
    <row r="89" spans="1:12" x14ac:dyDescent="0.25">
      <c r="A89" s="15">
        <v>88</v>
      </c>
      <c r="B89" s="15" t="s">
        <v>328</v>
      </c>
      <c r="C89" s="15">
        <v>3</v>
      </c>
      <c r="D89" s="26">
        <v>4200</v>
      </c>
      <c r="E89" s="14" t="str">
        <f t="shared" si="7"/>
        <v>VA050</v>
      </c>
      <c r="F89" s="14" t="str">
        <f t="shared" si="8"/>
        <v>Tayla Lima</v>
      </c>
      <c r="G89" s="14" t="str">
        <f t="shared" si="9"/>
        <v>1006</v>
      </c>
      <c r="H89" s="14" t="str">
        <f t="shared" si="10"/>
        <v>TV LED 32' - Preto</v>
      </c>
      <c r="I89" s="14" t="str">
        <f t="shared" si="11"/>
        <v>TLV</v>
      </c>
      <c r="J89" s="14" t="str">
        <f t="shared" si="12"/>
        <v>Televisão</v>
      </c>
      <c r="K89" s="14" t="str">
        <f t="shared" si="13"/>
        <v>UD09</v>
      </c>
      <c r="L89" s="14" t="str">
        <f t="shared" si="14"/>
        <v>São Paulo</v>
      </c>
    </row>
    <row r="90" spans="1:12" x14ac:dyDescent="0.25">
      <c r="A90" s="15">
        <v>89</v>
      </c>
      <c r="B90" s="15" t="s">
        <v>329</v>
      </c>
      <c r="C90" s="15">
        <v>5</v>
      </c>
      <c r="D90" s="26">
        <v>27500</v>
      </c>
      <c r="E90" s="14" t="str">
        <f t="shared" si="7"/>
        <v>VA003</v>
      </c>
      <c r="F90" s="14" t="str">
        <f t="shared" si="8"/>
        <v>Bianca Paz</v>
      </c>
      <c r="G90" s="14" t="str">
        <f t="shared" si="9"/>
        <v>1012</v>
      </c>
      <c r="H90" s="14" t="str">
        <f t="shared" si="10"/>
        <v>Dell G7 - Vermelho</v>
      </c>
      <c r="I90" s="14" t="str">
        <f t="shared" si="11"/>
        <v>NTB</v>
      </c>
      <c r="J90" s="14" t="str">
        <f t="shared" si="12"/>
        <v>Notebook</v>
      </c>
      <c r="K90" s="14" t="str">
        <f t="shared" si="13"/>
        <v>UD12</v>
      </c>
      <c r="L90" s="14" t="str">
        <f t="shared" si="14"/>
        <v>Guarulhos</v>
      </c>
    </row>
    <row r="91" spans="1:12" x14ac:dyDescent="0.25">
      <c r="A91" s="15">
        <v>90</v>
      </c>
      <c r="B91" s="15" t="s">
        <v>330</v>
      </c>
      <c r="C91" s="15">
        <v>2</v>
      </c>
      <c r="D91" s="26">
        <v>5000</v>
      </c>
      <c r="E91" s="14" t="str">
        <f t="shared" si="7"/>
        <v>VA029</v>
      </c>
      <c r="F91" s="14" t="str">
        <f t="shared" si="8"/>
        <v>Rodrigo Bruno</v>
      </c>
      <c r="G91" s="14" t="str">
        <f t="shared" si="9"/>
        <v>1002</v>
      </c>
      <c r="H91" s="14" t="str">
        <f t="shared" si="10"/>
        <v>iPhone 7 - Dourado</v>
      </c>
      <c r="I91" s="14" t="str">
        <f t="shared" si="11"/>
        <v>CLR</v>
      </c>
      <c r="J91" s="14" t="str">
        <f t="shared" si="12"/>
        <v>Celular</v>
      </c>
      <c r="K91" s="14" t="str">
        <f t="shared" si="13"/>
        <v>UD13</v>
      </c>
      <c r="L91" s="14" t="str">
        <f t="shared" si="14"/>
        <v>Campinas</v>
      </c>
    </row>
    <row r="92" spans="1:12" x14ac:dyDescent="0.25">
      <c r="A92" s="15">
        <v>91</v>
      </c>
      <c r="B92" s="15" t="s">
        <v>331</v>
      </c>
      <c r="C92" s="15">
        <v>1</v>
      </c>
      <c r="D92" s="26">
        <v>4500</v>
      </c>
      <c r="E92" s="14" t="str">
        <f t="shared" si="7"/>
        <v>VA047</v>
      </c>
      <c r="F92" s="14" t="str">
        <f t="shared" si="8"/>
        <v>Thayna Martins</v>
      </c>
      <c r="G92" s="14" t="str">
        <f t="shared" si="9"/>
        <v>1003</v>
      </c>
      <c r="H92" s="14" t="str">
        <f t="shared" si="10"/>
        <v>Galaxy S10 - Cinza</v>
      </c>
      <c r="I92" s="14" t="str">
        <f t="shared" si="11"/>
        <v>CLR</v>
      </c>
      <c r="J92" s="14" t="str">
        <f t="shared" si="12"/>
        <v>Celular</v>
      </c>
      <c r="K92" s="14" t="str">
        <f t="shared" si="13"/>
        <v>UD09</v>
      </c>
      <c r="L92" s="14" t="str">
        <f t="shared" si="14"/>
        <v>São Paulo</v>
      </c>
    </row>
    <row r="93" spans="1:12" x14ac:dyDescent="0.25">
      <c r="A93" s="15">
        <v>92</v>
      </c>
      <c r="B93" s="15" t="s">
        <v>332</v>
      </c>
      <c r="C93" s="15">
        <v>1</v>
      </c>
      <c r="D93" s="26">
        <v>2000</v>
      </c>
      <c r="E93" s="14" t="str">
        <f t="shared" si="7"/>
        <v>VA025</v>
      </c>
      <c r="F93" s="14" t="str">
        <f t="shared" si="8"/>
        <v>Manuela Merege</v>
      </c>
      <c r="G93" s="14" t="str">
        <f t="shared" si="9"/>
        <v>1008</v>
      </c>
      <c r="H93" s="14" t="str">
        <f t="shared" si="10"/>
        <v>Smart TV LED Full HD 55' - Preto</v>
      </c>
      <c r="I93" s="14" t="str">
        <f t="shared" si="11"/>
        <v>TLV</v>
      </c>
      <c r="J93" s="14" t="str">
        <f t="shared" si="12"/>
        <v>Televisão</v>
      </c>
      <c r="K93" s="14" t="str">
        <f t="shared" si="13"/>
        <v>UD07</v>
      </c>
      <c r="L93" s="14" t="str">
        <f t="shared" si="14"/>
        <v>Porto Alegre</v>
      </c>
    </row>
    <row r="94" spans="1:12" x14ac:dyDescent="0.25">
      <c r="A94" s="15">
        <v>93</v>
      </c>
      <c r="B94" s="15" t="s">
        <v>333</v>
      </c>
      <c r="C94" s="15">
        <v>4</v>
      </c>
      <c r="D94" s="26">
        <v>6000</v>
      </c>
      <c r="E94" s="14" t="str">
        <f t="shared" si="7"/>
        <v>VA001</v>
      </c>
      <c r="F94" s="14" t="str">
        <f t="shared" si="8"/>
        <v>Sthefeson Pereira</v>
      </c>
      <c r="G94" s="14" t="str">
        <f t="shared" si="9"/>
        <v>1023</v>
      </c>
      <c r="H94" s="14" t="str">
        <f t="shared" si="10"/>
        <v>Samsung Dual Core - Preto</v>
      </c>
      <c r="I94" s="14" t="str">
        <f t="shared" si="11"/>
        <v>NTB</v>
      </c>
      <c r="J94" s="14" t="str">
        <f t="shared" si="12"/>
        <v>Notebook</v>
      </c>
      <c r="K94" s="14" t="str">
        <f t="shared" si="13"/>
        <v>UD04</v>
      </c>
      <c r="L94" s="14" t="str">
        <f t="shared" si="14"/>
        <v>Curitiba</v>
      </c>
    </row>
    <row r="95" spans="1:12" x14ac:dyDescent="0.25">
      <c r="A95" s="15">
        <v>94</v>
      </c>
      <c r="B95" s="15" t="s">
        <v>334</v>
      </c>
      <c r="C95" s="15">
        <v>3</v>
      </c>
      <c r="D95" s="26">
        <v>7200</v>
      </c>
      <c r="E95" s="14" t="str">
        <f t="shared" si="7"/>
        <v>VA016</v>
      </c>
      <c r="F95" s="14" t="str">
        <f t="shared" si="8"/>
        <v>Tiago Pereira</v>
      </c>
      <c r="G95" s="14" t="str">
        <f t="shared" si="9"/>
        <v>1024</v>
      </c>
      <c r="H95" s="14" t="str">
        <f t="shared" si="10"/>
        <v>Aspire 5 - Cinza</v>
      </c>
      <c r="I95" s="14" t="str">
        <f t="shared" si="11"/>
        <v>NTB</v>
      </c>
      <c r="J95" s="14" t="str">
        <f t="shared" si="12"/>
        <v>Notebook</v>
      </c>
      <c r="K95" s="14" t="str">
        <f t="shared" si="13"/>
        <v>UD12</v>
      </c>
      <c r="L95" s="14" t="str">
        <f t="shared" si="14"/>
        <v>Guarulhos</v>
      </c>
    </row>
    <row r="96" spans="1:12" x14ac:dyDescent="0.25">
      <c r="A96" s="15">
        <v>95</v>
      </c>
      <c r="B96" s="15" t="s">
        <v>335</v>
      </c>
      <c r="C96" s="15">
        <v>1</v>
      </c>
      <c r="D96" s="26">
        <v>1750</v>
      </c>
      <c r="E96" s="14" t="str">
        <f t="shared" si="7"/>
        <v>VA046</v>
      </c>
      <c r="F96" s="14" t="str">
        <f t="shared" si="8"/>
        <v>Adrielle Forte</v>
      </c>
      <c r="G96" s="14" t="str">
        <f t="shared" si="9"/>
        <v>1004</v>
      </c>
      <c r="H96" s="14" t="str">
        <f t="shared" si="10"/>
        <v>Apple Watch - Preto</v>
      </c>
      <c r="I96" s="14" t="str">
        <f t="shared" si="11"/>
        <v>SMW</v>
      </c>
      <c r="J96" s="14" t="str">
        <f t="shared" si="12"/>
        <v>Smart Watch</v>
      </c>
      <c r="K96" s="14" t="str">
        <f t="shared" si="13"/>
        <v>UD13</v>
      </c>
      <c r="L96" s="14" t="str">
        <f t="shared" si="14"/>
        <v>Campinas</v>
      </c>
    </row>
    <row r="97" spans="1:12" x14ac:dyDescent="0.25">
      <c r="A97" s="15">
        <v>96</v>
      </c>
      <c r="B97" s="15" t="s">
        <v>336</v>
      </c>
      <c r="C97" s="15">
        <v>3</v>
      </c>
      <c r="D97" s="26">
        <v>3300</v>
      </c>
      <c r="E97" s="14" t="str">
        <f t="shared" si="7"/>
        <v>VA019</v>
      </c>
      <c r="F97" s="14" t="str">
        <f t="shared" si="8"/>
        <v>Victor Ferreira</v>
      </c>
      <c r="G97" s="14" t="str">
        <f t="shared" si="9"/>
        <v>1014</v>
      </c>
      <c r="H97" s="14" t="str">
        <f t="shared" si="10"/>
        <v>Galaxy J8 - Roxo</v>
      </c>
      <c r="I97" s="14" t="str">
        <f t="shared" si="11"/>
        <v>CLR</v>
      </c>
      <c r="J97" s="14" t="str">
        <f t="shared" si="12"/>
        <v>Celular</v>
      </c>
      <c r="K97" s="14" t="str">
        <f t="shared" si="13"/>
        <v>UD10</v>
      </c>
      <c r="L97" s="14" t="str">
        <f t="shared" si="14"/>
        <v>Niterói</v>
      </c>
    </row>
    <row r="98" spans="1:12" x14ac:dyDescent="0.25">
      <c r="A98" s="15">
        <v>97</v>
      </c>
      <c r="B98" s="15" t="s">
        <v>337</v>
      </c>
      <c r="C98" s="15">
        <v>5</v>
      </c>
      <c r="D98" s="26">
        <v>7750</v>
      </c>
      <c r="E98" s="14" t="str">
        <f t="shared" si="7"/>
        <v>VA048</v>
      </c>
      <c r="F98" s="14" t="str">
        <f t="shared" si="8"/>
        <v>Pedro Jorge</v>
      </c>
      <c r="G98" s="14" t="str">
        <f t="shared" si="9"/>
        <v>1013</v>
      </c>
      <c r="H98" s="14" t="str">
        <f t="shared" si="10"/>
        <v>Câmera Coolpix L340 - Cinza</v>
      </c>
      <c r="I98" s="14" t="str">
        <f t="shared" si="11"/>
        <v>CAM</v>
      </c>
      <c r="J98" s="14" t="str">
        <f t="shared" si="12"/>
        <v>Câmera</v>
      </c>
      <c r="K98" s="14" t="str">
        <f t="shared" si="13"/>
        <v>UD10</v>
      </c>
      <c r="L98" s="14" t="str">
        <f t="shared" si="14"/>
        <v>Niterói</v>
      </c>
    </row>
    <row r="99" spans="1:12" x14ac:dyDescent="0.25">
      <c r="A99" s="15">
        <v>98</v>
      </c>
      <c r="B99" s="15" t="s">
        <v>338</v>
      </c>
      <c r="C99" s="15">
        <v>1</v>
      </c>
      <c r="D99" s="26">
        <v>5200</v>
      </c>
      <c r="E99" s="14" t="str">
        <f t="shared" si="7"/>
        <v>VA044</v>
      </c>
      <c r="F99" s="14" t="str">
        <f t="shared" si="8"/>
        <v>Juliana Correa</v>
      </c>
      <c r="G99" s="14" t="str">
        <f t="shared" si="9"/>
        <v>1017</v>
      </c>
      <c r="H99" s="14" t="str">
        <f t="shared" si="10"/>
        <v>Smart TV 75' 4K - Preto</v>
      </c>
      <c r="I99" s="14" t="str">
        <f t="shared" si="11"/>
        <v>TLV</v>
      </c>
      <c r="J99" s="14" t="str">
        <f t="shared" si="12"/>
        <v>Televisão</v>
      </c>
      <c r="K99" s="14" t="str">
        <f t="shared" si="13"/>
        <v>UD07</v>
      </c>
      <c r="L99" s="14" t="str">
        <f t="shared" si="14"/>
        <v>Porto Alegre</v>
      </c>
    </row>
    <row r="100" spans="1:12" x14ac:dyDescent="0.25">
      <c r="A100" s="15">
        <v>99</v>
      </c>
      <c r="B100" s="15" t="s">
        <v>339</v>
      </c>
      <c r="C100" s="15">
        <v>5</v>
      </c>
      <c r="D100" s="26">
        <v>7500</v>
      </c>
      <c r="E100" s="14" t="str">
        <f t="shared" si="7"/>
        <v>VA003</v>
      </c>
      <c r="F100" s="14" t="str">
        <f t="shared" si="8"/>
        <v>Bianca Paz</v>
      </c>
      <c r="G100" s="14" t="str">
        <f t="shared" si="9"/>
        <v>1023</v>
      </c>
      <c r="H100" s="14" t="str">
        <f t="shared" si="10"/>
        <v>Samsung Dual Core - Preto</v>
      </c>
      <c r="I100" s="14" t="str">
        <f t="shared" si="11"/>
        <v>NTB</v>
      </c>
      <c r="J100" s="14" t="str">
        <f t="shared" si="12"/>
        <v>Notebook</v>
      </c>
      <c r="K100" s="14" t="str">
        <f t="shared" si="13"/>
        <v>UD01</v>
      </c>
      <c r="L100" s="14" t="str">
        <f t="shared" si="14"/>
        <v>Rio de Janeiro</v>
      </c>
    </row>
    <row r="101" spans="1:12" x14ac:dyDescent="0.25">
      <c r="A101" s="15">
        <v>100</v>
      </c>
      <c r="B101" s="15" t="s">
        <v>340</v>
      </c>
      <c r="C101" s="15">
        <v>1</v>
      </c>
      <c r="D101" s="26">
        <v>1900</v>
      </c>
      <c r="E101" s="14" t="str">
        <f t="shared" si="7"/>
        <v>VA044</v>
      </c>
      <c r="F101" s="14" t="str">
        <f t="shared" si="8"/>
        <v>Juliana Correa</v>
      </c>
      <c r="G101" s="14" t="str">
        <f t="shared" si="9"/>
        <v>1010</v>
      </c>
      <c r="H101" s="14" t="str">
        <f t="shared" si="10"/>
        <v>iPhone 6S - Rosa</v>
      </c>
      <c r="I101" s="14" t="str">
        <f t="shared" si="11"/>
        <v>CLR</v>
      </c>
      <c r="J101" s="14" t="str">
        <f t="shared" si="12"/>
        <v>Celular</v>
      </c>
      <c r="K101" s="14" t="str">
        <f t="shared" si="13"/>
        <v>UD13</v>
      </c>
      <c r="L101" s="14" t="str">
        <f t="shared" si="14"/>
        <v>Campinas</v>
      </c>
    </row>
    <row r="102" spans="1:12" x14ac:dyDescent="0.25">
      <c r="A102" s="15">
        <v>101</v>
      </c>
      <c r="B102" s="15" t="s">
        <v>341</v>
      </c>
      <c r="C102" s="15">
        <v>1</v>
      </c>
      <c r="D102" s="26">
        <v>1450</v>
      </c>
      <c r="E102" s="14" t="str">
        <f t="shared" si="7"/>
        <v>VA028</v>
      </c>
      <c r="F102" s="14" t="str">
        <f t="shared" si="8"/>
        <v>Bernardo Nauenberg</v>
      </c>
      <c r="G102" s="14" t="str">
        <f t="shared" si="9"/>
        <v>1016</v>
      </c>
      <c r="H102" s="14" t="str">
        <f t="shared" si="10"/>
        <v>Smart Watch Galaxy - Azul</v>
      </c>
      <c r="I102" s="14" t="str">
        <f t="shared" si="11"/>
        <v>SMW</v>
      </c>
      <c r="J102" s="14" t="str">
        <f t="shared" si="12"/>
        <v>Smart Watch</v>
      </c>
      <c r="K102" s="14" t="str">
        <f t="shared" si="13"/>
        <v>UD04</v>
      </c>
      <c r="L102" s="14" t="str">
        <f t="shared" si="14"/>
        <v>Curitiba</v>
      </c>
    </row>
    <row r="103" spans="1:12" x14ac:dyDescent="0.25">
      <c r="A103" s="15">
        <v>102</v>
      </c>
      <c r="B103" s="15" t="s">
        <v>342</v>
      </c>
      <c r="C103" s="15">
        <v>4</v>
      </c>
      <c r="D103" s="26">
        <v>12000</v>
      </c>
      <c r="E103" s="14" t="str">
        <f t="shared" si="7"/>
        <v>VA011</v>
      </c>
      <c r="F103" s="14" t="str">
        <f t="shared" si="8"/>
        <v>Raissa Negrelli</v>
      </c>
      <c r="G103" s="14" t="str">
        <f t="shared" si="9"/>
        <v>1021</v>
      </c>
      <c r="H103" s="14" t="str">
        <f t="shared" si="10"/>
        <v>Galaxy S8 - Verde</v>
      </c>
      <c r="I103" s="14" t="str">
        <f t="shared" si="11"/>
        <v>CLR</v>
      </c>
      <c r="J103" s="14" t="str">
        <f t="shared" si="12"/>
        <v>Celular</v>
      </c>
      <c r="K103" s="14" t="str">
        <f t="shared" si="13"/>
        <v>UD03</v>
      </c>
      <c r="L103" s="14" t="str">
        <f t="shared" si="14"/>
        <v>Salvador</v>
      </c>
    </row>
    <row r="104" spans="1:12" x14ac:dyDescent="0.25">
      <c r="A104" s="15">
        <v>103</v>
      </c>
      <c r="B104" s="15" t="s">
        <v>343</v>
      </c>
      <c r="C104" s="15">
        <v>1</v>
      </c>
      <c r="D104" s="26">
        <v>2500</v>
      </c>
      <c r="E104" s="14" t="str">
        <f t="shared" si="7"/>
        <v>VA017</v>
      </c>
      <c r="F104" s="14" t="str">
        <f t="shared" si="8"/>
        <v>Julia Penteado</v>
      </c>
      <c r="G104" s="14" t="str">
        <f t="shared" si="9"/>
        <v>1002</v>
      </c>
      <c r="H104" s="14" t="str">
        <f t="shared" si="10"/>
        <v>iPhone 7 - Dourado</v>
      </c>
      <c r="I104" s="14" t="str">
        <f t="shared" si="11"/>
        <v>CLR</v>
      </c>
      <c r="J104" s="14" t="str">
        <f t="shared" si="12"/>
        <v>Celular</v>
      </c>
      <c r="K104" s="14" t="str">
        <f t="shared" si="13"/>
        <v>UD10</v>
      </c>
      <c r="L104" s="14" t="str">
        <f t="shared" si="14"/>
        <v>Niterói</v>
      </c>
    </row>
    <row r="105" spans="1:12" x14ac:dyDescent="0.25">
      <c r="A105" s="15">
        <v>104</v>
      </c>
      <c r="B105" s="15" t="s">
        <v>344</v>
      </c>
      <c r="C105" s="15">
        <v>1</v>
      </c>
      <c r="D105" s="26">
        <v>4500</v>
      </c>
      <c r="E105" s="14" t="str">
        <f t="shared" si="7"/>
        <v>VA046</v>
      </c>
      <c r="F105" s="14" t="str">
        <f t="shared" si="8"/>
        <v>Adrielle Forte</v>
      </c>
      <c r="G105" s="14" t="str">
        <f t="shared" si="9"/>
        <v>1003</v>
      </c>
      <c r="H105" s="14" t="str">
        <f t="shared" si="10"/>
        <v>Galaxy S10 - Cinza</v>
      </c>
      <c r="I105" s="14" t="str">
        <f t="shared" si="11"/>
        <v>CLR</v>
      </c>
      <c r="J105" s="14" t="str">
        <f t="shared" si="12"/>
        <v>Celular</v>
      </c>
      <c r="K105" s="14" t="str">
        <f t="shared" si="13"/>
        <v>UD04</v>
      </c>
      <c r="L105" s="14" t="str">
        <f t="shared" si="14"/>
        <v>Curitiba</v>
      </c>
    </row>
    <row r="106" spans="1:12" x14ac:dyDescent="0.25">
      <c r="A106" s="15">
        <v>105</v>
      </c>
      <c r="B106" s="15" t="s">
        <v>345</v>
      </c>
      <c r="C106" s="15">
        <v>1</v>
      </c>
      <c r="D106" s="26">
        <v>2400</v>
      </c>
      <c r="E106" s="14" t="str">
        <f t="shared" si="7"/>
        <v>VA009</v>
      </c>
      <c r="F106" s="14" t="str">
        <f t="shared" si="8"/>
        <v>Chan Santos</v>
      </c>
      <c r="G106" s="14" t="str">
        <f t="shared" si="9"/>
        <v>1024</v>
      </c>
      <c r="H106" s="14" t="str">
        <f t="shared" si="10"/>
        <v>Aspire 5 - Cinza</v>
      </c>
      <c r="I106" s="14" t="str">
        <f t="shared" si="11"/>
        <v>NTB</v>
      </c>
      <c r="J106" s="14" t="str">
        <f t="shared" si="12"/>
        <v>Notebook</v>
      </c>
      <c r="K106" s="14" t="str">
        <f t="shared" si="13"/>
        <v>UD10</v>
      </c>
      <c r="L106" s="14" t="str">
        <f t="shared" si="14"/>
        <v>Niterói</v>
      </c>
    </row>
    <row r="107" spans="1:12" x14ac:dyDescent="0.25">
      <c r="A107" s="15">
        <v>106</v>
      </c>
      <c r="B107" s="15" t="s">
        <v>346</v>
      </c>
      <c r="C107" s="15">
        <v>1</v>
      </c>
      <c r="D107" s="26">
        <v>1550</v>
      </c>
      <c r="E107" s="14" t="str">
        <f t="shared" si="7"/>
        <v>VA030</v>
      </c>
      <c r="F107" s="14" t="str">
        <f t="shared" si="8"/>
        <v>Pedro Macckione</v>
      </c>
      <c r="G107" s="14" t="str">
        <f t="shared" si="9"/>
        <v>1013</v>
      </c>
      <c r="H107" s="14" t="str">
        <f t="shared" si="10"/>
        <v>Câmera Coolpix L340 - Cinza</v>
      </c>
      <c r="I107" s="14" t="str">
        <f t="shared" si="11"/>
        <v>CAM</v>
      </c>
      <c r="J107" s="14" t="str">
        <f t="shared" si="12"/>
        <v>Câmera</v>
      </c>
      <c r="K107" s="14" t="str">
        <f t="shared" si="13"/>
        <v>UD01</v>
      </c>
      <c r="L107" s="14" t="str">
        <f t="shared" si="14"/>
        <v>Rio de Janeiro</v>
      </c>
    </row>
    <row r="108" spans="1:12" x14ac:dyDescent="0.25">
      <c r="A108" s="15">
        <v>107</v>
      </c>
      <c r="B108" s="15" t="s">
        <v>347</v>
      </c>
      <c r="C108" s="15">
        <v>1</v>
      </c>
      <c r="D108" s="26">
        <v>2000</v>
      </c>
      <c r="E108" s="14" t="str">
        <f t="shared" si="7"/>
        <v>VA012</v>
      </c>
      <c r="F108" s="14" t="str">
        <f t="shared" si="8"/>
        <v>Arthur Rocha</v>
      </c>
      <c r="G108" s="14" t="str">
        <f t="shared" si="9"/>
        <v>1011</v>
      </c>
      <c r="H108" s="14" t="str">
        <f t="shared" si="10"/>
        <v>Tablet M10 Android - Preto</v>
      </c>
      <c r="I108" s="14" t="str">
        <f t="shared" si="11"/>
        <v>TBL</v>
      </c>
      <c r="J108" s="14" t="str">
        <f t="shared" si="12"/>
        <v>Tablet</v>
      </c>
      <c r="K108" s="14" t="str">
        <f t="shared" si="13"/>
        <v>UD11</v>
      </c>
      <c r="L108" s="14" t="str">
        <f t="shared" si="14"/>
        <v>Goiânia</v>
      </c>
    </row>
    <row r="109" spans="1:12" x14ac:dyDescent="0.25">
      <c r="A109" s="15">
        <v>108</v>
      </c>
      <c r="B109" s="15" t="s">
        <v>348</v>
      </c>
      <c r="C109" s="15">
        <v>1</v>
      </c>
      <c r="D109" s="26">
        <v>1500</v>
      </c>
      <c r="E109" s="14" t="str">
        <f t="shared" si="7"/>
        <v>VA013</v>
      </c>
      <c r="F109" s="14" t="str">
        <f t="shared" si="8"/>
        <v>Eduardo Silva</v>
      </c>
      <c r="G109" s="14" t="str">
        <f t="shared" si="9"/>
        <v>1023</v>
      </c>
      <c r="H109" s="14" t="str">
        <f t="shared" si="10"/>
        <v>Samsung Dual Core - Preto</v>
      </c>
      <c r="I109" s="14" t="str">
        <f t="shared" si="11"/>
        <v>NTB</v>
      </c>
      <c r="J109" s="14" t="str">
        <f t="shared" si="12"/>
        <v>Notebook</v>
      </c>
      <c r="K109" s="14" t="str">
        <f t="shared" si="13"/>
        <v>UD06</v>
      </c>
      <c r="L109" s="14" t="str">
        <f t="shared" si="14"/>
        <v>Recife</v>
      </c>
    </row>
    <row r="110" spans="1:12" x14ac:dyDescent="0.25">
      <c r="A110" s="15">
        <v>109</v>
      </c>
      <c r="B110" s="15" t="s">
        <v>349</v>
      </c>
      <c r="C110" s="15">
        <v>1</v>
      </c>
      <c r="D110" s="26">
        <v>5200</v>
      </c>
      <c r="E110" s="14" t="str">
        <f t="shared" si="7"/>
        <v>VA007</v>
      </c>
      <c r="F110" s="14" t="str">
        <f t="shared" si="8"/>
        <v>Natalia Marinho</v>
      </c>
      <c r="G110" s="14" t="str">
        <f t="shared" si="9"/>
        <v>1017</v>
      </c>
      <c r="H110" s="14" t="str">
        <f t="shared" si="10"/>
        <v>Smart TV 75' 4K - Preto</v>
      </c>
      <c r="I110" s="14" t="str">
        <f t="shared" si="11"/>
        <v>TLV</v>
      </c>
      <c r="J110" s="14" t="str">
        <f t="shared" si="12"/>
        <v>Televisão</v>
      </c>
      <c r="K110" s="14" t="str">
        <f t="shared" si="13"/>
        <v>UD06</v>
      </c>
      <c r="L110" s="14" t="str">
        <f t="shared" si="14"/>
        <v>Recife</v>
      </c>
    </row>
    <row r="111" spans="1:12" x14ac:dyDescent="0.25">
      <c r="A111" s="15">
        <v>110</v>
      </c>
      <c r="B111" s="15" t="s">
        <v>350</v>
      </c>
      <c r="C111" s="15">
        <v>2</v>
      </c>
      <c r="D111" s="26">
        <v>1400</v>
      </c>
      <c r="E111" s="14" t="str">
        <f t="shared" si="7"/>
        <v>VA025</v>
      </c>
      <c r="F111" s="14" t="str">
        <f t="shared" si="8"/>
        <v>Manuela Merege</v>
      </c>
      <c r="G111" s="14" t="str">
        <f t="shared" si="9"/>
        <v>1015</v>
      </c>
      <c r="H111" s="14" t="str">
        <f t="shared" si="10"/>
        <v>Câmera Digital Sony Cyber - Azul</v>
      </c>
      <c r="I111" s="14" t="str">
        <f t="shared" si="11"/>
        <v>CAM</v>
      </c>
      <c r="J111" s="14" t="str">
        <f t="shared" si="12"/>
        <v>Câmera</v>
      </c>
      <c r="K111" s="14" t="str">
        <f t="shared" si="13"/>
        <v>UD01</v>
      </c>
      <c r="L111" s="14" t="str">
        <f t="shared" si="14"/>
        <v>Rio de Janeiro</v>
      </c>
    </row>
    <row r="112" spans="1:12" x14ac:dyDescent="0.25">
      <c r="A112" s="15">
        <v>111</v>
      </c>
      <c r="B112" s="15" t="s">
        <v>351</v>
      </c>
      <c r="C112" s="15">
        <v>1</v>
      </c>
      <c r="D112" s="26">
        <v>1400</v>
      </c>
      <c r="E112" s="14" t="str">
        <f t="shared" si="7"/>
        <v>VA021</v>
      </c>
      <c r="F112" s="14" t="str">
        <f t="shared" si="8"/>
        <v>Ruan Lopes</v>
      </c>
      <c r="G112" s="14" t="str">
        <f t="shared" si="9"/>
        <v>1006</v>
      </c>
      <c r="H112" s="14" t="str">
        <f t="shared" si="10"/>
        <v>TV LED 32' - Preto</v>
      </c>
      <c r="I112" s="14" t="str">
        <f t="shared" si="11"/>
        <v>TLV</v>
      </c>
      <c r="J112" s="14" t="str">
        <f t="shared" si="12"/>
        <v>Televisão</v>
      </c>
      <c r="K112" s="14" t="str">
        <f t="shared" si="13"/>
        <v>UD11</v>
      </c>
      <c r="L112" s="14" t="str">
        <f t="shared" si="14"/>
        <v>Goiânia</v>
      </c>
    </row>
    <row r="113" spans="1:12" x14ac:dyDescent="0.25">
      <c r="A113" s="15">
        <v>112</v>
      </c>
      <c r="B113" s="15" t="s">
        <v>352</v>
      </c>
      <c r="C113" s="15">
        <v>1</v>
      </c>
      <c r="D113" s="26">
        <v>1500</v>
      </c>
      <c r="E113" s="14" t="str">
        <f t="shared" si="7"/>
        <v>VA005</v>
      </c>
      <c r="F113" s="14" t="str">
        <f t="shared" si="8"/>
        <v>Luiza Cabral</v>
      </c>
      <c r="G113" s="14" t="str">
        <f t="shared" si="9"/>
        <v>1023</v>
      </c>
      <c r="H113" s="14" t="str">
        <f t="shared" si="10"/>
        <v>Samsung Dual Core - Preto</v>
      </c>
      <c r="I113" s="14" t="str">
        <f t="shared" si="11"/>
        <v>NTB</v>
      </c>
      <c r="J113" s="14" t="str">
        <f t="shared" si="12"/>
        <v>Notebook</v>
      </c>
      <c r="K113" s="14" t="str">
        <f t="shared" si="13"/>
        <v>UD10</v>
      </c>
      <c r="L113" s="14" t="str">
        <f t="shared" si="14"/>
        <v>Niterói</v>
      </c>
    </row>
    <row r="114" spans="1:12" x14ac:dyDescent="0.25">
      <c r="A114" s="15">
        <v>113</v>
      </c>
      <c r="B114" s="15" t="s">
        <v>353</v>
      </c>
      <c r="C114" s="15">
        <v>5</v>
      </c>
      <c r="D114" s="26">
        <v>32500</v>
      </c>
      <c r="E114" s="14" t="str">
        <f t="shared" si="7"/>
        <v>VA030</v>
      </c>
      <c r="F114" s="14" t="str">
        <f t="shared" si="8"/>
        <v>Pedro Macckione</v>
      </c>
      <c r="G114" s="14" t="str">
        <f t="shared" si="9"/>
        <v>1019</v>
      </c>
      <c r="H114" s="14" t="str">
        <f t="shared" si="10"/>
        <v>iPhone XS - Preto</v>
      </c>
      <c r="I114" s="14" t="str">
        <f t="shared" si="11"/>
        <v>CLR</v>
      </c>
      <c r="J114" s="14" t="str">
        <f t="shared" si="12"/>
        <v>Celular</v>
      </c>
      <c r="K114" s="14" t="str">
        <f t="shared" si="13"/>
        <v>UD13</v>
      </c>
      <c r="L114" s="14" t="str">
        <f t="shared" si="14"/>
        <v>Campinas</v>
      </c>
    </row>
    <row r="115" spans="1:12" x14ac:dyDescent="0.25">
      <c r="A115" s="15">
        <v>114</v>
      </c>
      <c r="B115" s="15" t="s">
        <v>354</v>
      </c>
      <c r="C115" s="15">
        <v>5</v>
      </c>
      <c r="D115" s="26">
        <v>15000</v>
      </c>
      <c r="E115" s="14" t="str">
        <f t="shared" si="7"/>
        <v>VA001</v>
      </c>
      <c r="F115" s="14" t="str">
        <f t="shared" si="8"/>
        <v>Sthefeson Pereira</v>
      </c>
      <c r="G115" s="14" t="str">
        <f t="shared" si="9"/>
        <v>1021</v>
      </c>
      <c r="H115" s="14" t="str">
        <f t="shared" si="10"/>
        <v>Galaxy S8 - Verde</v>
      </c>
      <c r="I115" s="14" t="str">
        <f t="shared" si="11"/>
        <v>CLR</v>
      </c>
      <c r="J115" s="14" t="str">
        <f t="shared" si="12"/>
        <v>Celular</v>
      </c>
      <c r="K115" s="14" t="str">
        <f t="shared" si="13"/>
        <v>UD11</v>
      </c>
      <c r="L115" s="14" t="str">
        <f t="shared" si="14"/>
        <v>Goiânia</v>
      </c>
    </row>
    <row r="116" spans="1:12" x14ac:dyDescent="0.25">
      <c r="A116" s="15">
        <v>115</v>
      </c>
      <c r="B116" s="15" t="s">
        <v>355</v>
      </c>
      <c r="C116" s="15">
        <v>1</v>
      </c>
      <c r="D116" s="26">
        <v>1750</v>
      </c>
      <c r="E116" s="14" t="str">
        <f t="shared" si="7"/>
        <v>VA021</v>
      </c>
      <c r="F116" s="14" t="str">
        <f t="shared" si="8"/>
        <v>Ruan Lopes</v>
      </c>
      <c r="G116" s="14" t="str">
        <f t="shared" si="9"/>
        <v>1004</v>
      </c>
      <c r="H116" s="14" t="str">
        <f t="shared" si="10"/>
        <v>Apple Watch - Preto</v>
      </c>
      <c r="I116" s="14" t="str">
        <f t="shared" si="11"/>
        <v>SMW</v>
      </c>
      <c r="J116" s="14" t="str">
        <f t="shared" si="12"/>
        <v>Smart Watch</v>
      </c>
      <c r="K116" s="14" t="str">
        <f t="shared" si="13"/>
        <v>UD05</v>
      </c>
      <c r="L116" s="14" t="str">
        <f t="shared" si="14"/>
        <v>Fortaleza</v>
      </c>
    </row>
    <row r="117" spans="1:12" x14ac:dyDescent="0.25">
      <c r="A117" s="15">
        <v>116</v>
      </c>
      <c r="B117" s="15" t="s">
        <v>356</v>
      </c>
      <c r="C117" s="15">
        <v>1</v>
      </c>
      <c r="D117" s="26">
        <v>1400</v>
      </c>
      <c r="E117" s="14" t="str">
        <f t="shared" si="7"/>
        <v>VA008</v>
      </c>
      <c r="F117" s="14" t="str">
        <f t="shared" si="8"/>
        <v>Leonardo Ferreira</v>
      </c>
      <c r="G117" s="14" t="str">
        <f t="shared" si="9"/>
        <v>1006</v>
      </c>
      <c r="H117" s="14" t="str">
        <f t="shared" si="10"/>
        <v>TV LED 32' - Preto</v>
      </c>
      <c r="I117" s="14" t="str">
        <f t="shared" si="11"/>
        <v>TLV</v>
      </c>
      <c r="J117" s="14" t="str">
        <f t="shared" si="12"/>
        <v>Televisão</v>
      </c>
      <c r="K117" s="14" t="str">
        <f t="shared" si="13"/>
        <v>UD13</v>
      </c>
      <c r="L117" s="14" t="str">
        <f t="shared" si="14"/>
        <v>Campinas</v>
      </c>
    </row>
    <row r="118" spans="1:12" x14ac:dyDescent="0.25">
      <c r="A118" s="15">
        <v>117</v>
      </c>
      <c r="B118" s="15" t="s">
        <v>357</v>
      </c>
      <c r="C118" s="15">
        <v>1</v>
      </c>
      <c r="D118" s="26">
        <v>5200</v>
      </c>
      <c r="E118" s="14" t="str">
        <f t="shared" si="7"/>
        <v>VA041</v>
      </c>
      <c r="F118" s="14" t="str">
        <f t="shared" si="8"/>
        <v>Raphael Kurtz</v>
      </c>
      <c r="G118" s="14" t="str">
        <f t="shared" si="9"/>
        <v>1017</v>
      </c>
      <c r="H118" s="14" t="str">
        <f t="shared" si="10"/>
        <v>Smart TV 75' 4K - Preto</v>
      </c>
      <c r="I118" s="14" t="str">
        <f t="shared" si="11"/>
        <v>TLV</v>
      </c>
      <c r="J118" s="14" t="str">
        <f t="shared" si="12"/>
        <v>Televisão</v>
      </c>
      <c r="K118" s="14" t="str">
        <f t="shared" si="13"/>
        <v>UD07</v>
      </c>
      <c r="L118" s="14" t="str">
        <f t="shared" si="14"/>
        <v>Porto Alegre</v>
      </c>
    </row>
    <row r="119" spans="1:12" x14ac:dyDescent="0.25">
      <c r="A119" s="15">
        <v>118</v>
      </c>
      <c r="B119" s="15" t="s">
        <v>358</v>
      </c>
      <c r="C119" s="15">
        <v>1</v>
      </c>
      <c r="D119" s="26">
        <v>5500</v>
      </c>
      <c r="E119" s="14" t="str">
        <f t="shared" si="7"/>
        <v>VA029</v>
      </c>
      <c r="F119" s="14" t="str">
        <f t="shared" si="8"/>
        <v>Rodrigo Bruno</v>
      </c>
      <c r="G119" s="14" t="str">
        <f t="shared" si="9"/>
        <v>1012</v>
      </c>
      <c r="H119" s="14" t="str">
        <f t="shared" si="10"/>
        <v>Dell G7 - Vermelho</v>
      </c>
      <c r="I119" s="14" t="str">
        <f t="shared" si="11"/>
        <v>NTB</v>
      </c>
      <c r="J119" s="14" t="str">
        <f t="shared" si="12"/>
        <v>Notebook</v>
      </c>
      <c r="K119" s="14" t="str">
        <f t="shared" si="13"/>
        <v>UD09</v>
      </c>
      <c r="L119" s="14" t="str">
        <f t="shared" si="14"/>
        <v>São Paulo</v>
      </c>
    </row>
    <row r="120" spans="1:12" x14ac:dyDescent="0.25">
      <c r="A120" s="15">
        <v>119</v>
      </c>
      <c r="B120" s="15" t="s">
        <v>359</v>
      </c>
      <c r="C120" s="15">
        <v>2</v>
      </c>
      <c r="D120" s="26">
        <v>2800</v>
      </c>
      <c r="E120" s="14" t="str">
        <f t="shared" si="7"/>
        <v>VA047</v>
      </c>
      <c r="F120" s="14" t="str">
        <f t="shared" si="8"/>
        <v>Thayna Martins</v>
      </c>
      <c r="G120" s="14" t="str">
        <f t="shared" si="9"/>
        <v>1006</v>
      </c>
      <c r="H120" s="14" t="str">
        <f t="shared" si="10"/>
        <v>TV LED 32' - Preto</v>
      </c>
      <c r="I120" s="14" t="str">
        <f t="shared" si="11"/>
        <v>TLV</v>
      </c>
      <c r="J120" s="14" t="str">
        <f t="shared" si="12"/>
        <v>Televisão</v>
      </c>
      <c r="K120" s="14" t="str">
        <f t="shared" si="13"/>
        <v>UD11</v>
      </c>
      <c r="L120" s="14" t="str">
        <f t="shared" si="14"/>
        <v>Goiânia</v>
      </c>
    </row>
    <row r="121" spans="1:12" x14ac:dyDescent="0.25">
      <c r="A121" s="15">
        <v>120</v>
      </c>
      <c r="B121" s="15" t="s">
        <v>360</v>
      </c>
      <c r="C121" s="15">
        <v>3</v>
      </c>
      <c r="D121" s="26">
        <v>7200</v>
      </c>
      <c r="E121" s="14" t="str">
        <f t="shared" si="7"/>
        <v>VA030</v>
      </c>
      <c r="F121" s="14" t="str">
        <f t="shared" si="8"/>
        <v>Pedro Macckione</v>
      </c>
      <c r="G121" s="14" t="str">
        <f t="shared" si="9"/>
        <v>1024</v>
      </c>
      <c r="H121" s="14" t="str">
        <f t="shared" si="10"/>
        <v>Aspire 5 - Cinza</v>
      </c>
      <c r="I121" s="14" t="str">
        <f t="shared" si="11"/>
        <v>NTB</v>
      </c>
      <c r="J121" s="14" t="str">
        <f t="shared" si="12"/>
        <v>Notebook</v>
      </c>
      <c r="K121" s="14" t="str">
        <f t="shared" si="13"/>
        <v>UD06</v>
      </c>
      <c r="L121" s="14" t="str">
        <f t="shared" si="14"/>
        <v>Recife</v>
      </c>
    </row>
    <row r="122" spans="1:12" x14ac:dyDescent="0.25">
      <c r="A122" s="15">
        <v>121</v>
      </c>
      <c r="B122" s="15" t="s">
        <v>361</v>
      </c>
      <c r="C122" s="15">
        <v>1</v>
      </c>
      <c r="D122" s="26">
        <v>1550</v>
      </c>
      <c r="E122" s="14" t="str">
        <f t="shared" si="7"/>
        <v>VA049</v>
      </c>
      <c r="F122" s="14" t="str">
        <f t="shared" si="8"/>
        <v>Juliana Souza</v>
      </c>
      <c r="G122" s="14" t="str">
        <f t="shared" si="9"/>
        <v>1013</v>
      </c>
      <c r="H122" s="14" t="str">
        <f t="shared" si="10"/>
        <v>Câmera Coolpix L340 - Cinza</v>
      </c>
      <c r="I122" s="14" t="str">
        <f t="shared" si="11"/>
        <v>CAM</v>
      </c>
      <c r="J122" s="14" t="str">
        <f t="shared" si="12"/>
        <v>Câmera</v>
      </c>
      <c r="K122" s="14" t="str">
        <f t="shared" si="13"/>
        <v>UD03</v>
      </c>
      <c r="L122" s="14" t="str">
        <f t="shared" si="14"/>
        <v>Salvador</v>
      </c>
    </row>
    <row r="123" spans="1:12" x14ac:dyDescent="0.25">
      <c r="A123" s="15">
        <v>122</v>
      </c>
      <c r="B123" s="15" t="s">
        <v>362</v>
      </c>
      <c r="C123" s="15">
        <v>3</v>
      </c>
      <c r="D123" s="26">
        <v>13500</v>
      </c>
      <c r="E123" s="14" t="str">
        <f t="shared" si="7"/>
        <v>VA004</v>
      </c>
      <c r="F123" s="14" t="str">
        <f t="shared" si="8"/>
        <v>Silvio Fahrnholz</v>
      </c>
      <c r="G123" s="14" t="str">
        <f t="shared" si="9"/>
        <v>1003</v>
      </c>
      <c r="H123" s="14" t="str">
        <f t="shared" si="10"/>
        <v>Galaxy S10 - Cinza</v>
      </c>
      <c r="I123" s="14" t="str">
        <f t="shared" si="11"/>
        <v>CLR</v>
      </c>
      <c r="J123" s="14" t="str">
        <f t="shared" si="12"/>
        <v>Celular</v>
      </c>
      <c r="K123" s="14" t="str">
        <f t="shared" si="13"/>
        <v>UD01</v>
      </c>
      <c r="L123" s="14" t="str">
        <f t="shared" si="14"/>
        <v>Rio de Janeiro</v>
      </c>
    </row>
    <row r="124" spans="1:12" x14ac:dyDescent="0.25">
      <c r="A124" s="15">
        <v>123</v>
      </c>
      <c r="B124" s="15" t="s">
        <v>363</v>
      </c>
      <c r="C124" s="15">
        <v>3</v>
      </c>
      <c r="D124" s="26">
        <v>5700</v>
      </c>
      <c r="E124" s="14" t="str">
        <f t="shared" si="7"/>
        <v>VA050</v>
      </c>
      <c r="F124" s="14" t="str">
        <f t="shared" si="8"/>
        <v>Tayla Lima</v>
      </c>
      <c r="G124" s="14" t="str">
        <f t="shared" si="9"/>
        <v>1010</v>
      </c>
      <c r="H124" s="14" t="str">
        <f t="shared" si="10"/>
        <v>iPhone 6S - Rosa</v>
      </c>
      <c r="I124" s="14" t="str">
        <f t="shared" si="11"/>
        <v>CLR</v>
      </c>
      <c r="J124" s="14" t="str">
        <f t="shared" si="12"/>
        <v>Celular</v>
      </c>
      <c r="K124" s="14" t="str">
        <f t="shared" si="13"/>
        <v>UD01</v>
      </c>
      <c r="L124" s="14" t="str">
        <f t="shared" si="14"/>
        <v>Rio de Janeiro</v>
      </c>
    </row>
    <row r="125" spans="1:12" x14ac:dyDescent="0.25">
      <c r="A125" s="15">
        <v>124</v>
      </c>
      <c r="B125" s="15" t="s">
        <v>364</v>
      </c>
      <c r="C125" s="15">
        <v>1</v>
      </c>
      <c r="D125" s="26">
        <v>1500</v>
      </c>
      <c r="E125" s="14" t="str">
        <f t="shared" si="7"/>
        <v>VA032</v>
      </c>
      <c r="F125" s="14" t="str">
        <f t="shared" si="8"/>
        <v>Isabela Resende</v>
      </c>
      <c r="G125" s="14" t="str">
        <f t="shared" si="9"/>
        <v>1020</v>
      </c>
      <c r="H125" s="14" t="str">
        <f t="shared" si="10"/>
        <v>Moto Z - Vermelho</v>
      </c>
      <c r="I125" s="14" t="str">
        <f t="shared" si="11"/>
        <v>CLR</v>
      </c>
      <c r="J125" s="14" t="str">
        <f t="shared" si="12"/>
        <v>Celular</v>
      </c>
      <c r="K125" s="14" t="str">
        <f t="shared" si="13"/>
        <v>UD08</v>
      </c>
      <c r="L125" s="14" t="str">
        <f t="shared" si="14"/>
        <v>Nova Iguaçu</v>
      </c>
    </row>
    <row r="126" spans="1:12" x14ac:dyDescent="0.25">
      <c r="A126" s="15">
        <v>125</v>
      </c>
      <c r="B126" s="15" t="s">
        <v>365</v>
      </c>
      <c r="C126" s="15">
        <v>1</v>
      </c>
      <c r="D126" s="26">
        <v>2000</v>
      </c>
      <c r="E126" s="14" t="str">
        <f t="shared" si="7"/>
        <v>VA002</v>
      </c>
      <c r="F126" s="14" t="str">
        <f t="shared" si="8"/>
        <v>Antonio Manhães</v>
      </c>
      <c r="G126" s="14" t="str">
        <f t="shared" si="9"/>
        <v>1008</v>
      </c>
      <c r="H126" s="14" t="str">
        <f t="shared" si="10"/>
        <v>Smart TV LED Full HD 55' - Preto</v>
      </c>
      <c r="I126" s="14" t="str">
        <f t="shared" si="11"/>
        <v>TLV</v>
      </c>
      <c r="J126" s="14" t="str">
        <f t="shared" si="12"/>
        <v>Televisão</v>
      </c>
      <c r="K126" s="14" t="str">
        <f t="shared" si="13"/>
        <v>UD12</v>
      </c>
      <c r="L126" s="14" t="str">
        <f t="shared" si="14"/>
        <v>Guarulhos</v>
      </c>
    </row>
    <row r="127" spans="1:12" x14ac:dyDescent="0.25">
      <c r="A127" s="15">
        <v>126</v>
      </c>
      <c r="B127" s="15" t="s">
        <v>366</v>
      </c>
      <c r="C127" s="15">
        <v>1</v>
      </c>
      <c r="D127" s="26">
        <v>2000</v>
      </c>
      <c r="E127" s="14" t="str">
        <f t="shared" si="7"/>
        <v>VA008</v>
      </c>
      <c r="F127" s="14" t="str">
        <f t="shared" si="8"/>
        <v>Leonardo Ferreira</v>
      </c>
      <c r="G127" s="14" t="str">
        <f t="shared" si="9"/>
        <v>1011</v>
      </c>
      <c r="H127" s="14" t="str">
        <f t="shared" si="10"/>
        <v>Tablet M10 Android - Preto</v>
      </c>
      <c r="I127" s="14" t="str">
        <f t="shared" si="11"/>
        <v>TBL</v>
      </c>
      <c r="J127" s="14" t="str">
        <f t="shared" si="12"/>
        <v>Tablet</v>
      </c>
      <c r="K127" s="14" t="str">
        <f t="shared" si="13"/>
        <v>UD10</v>
      </c>
      <c r="L127" s="14" t="str">
        <f t="shared" si="14"/>
        <v>Niterói</v>
      </c>
    </row>
    <row r="128" spans="1:12" x14ac:dyDescent="0.25">
      <c r="A128" s="15">
        <v>127</v>
      </c>
      <c r="B128" s="15" t="s">
        <v>367</v>
      </c>
      <c r="C128" s="15">
        <v>2</v>
      </c>
      <c r="D128" s="26">
        <v>1400</v>
      </c>
      <c r="E128" s="14" t="str">
        <f t="shared" si="7"/>
        <v>VA032</v>
      </c>
      <c r="F128" s="14" t="str">
        <f t="shared" si="8"/>
        <v>Isabela Resende</v>
      </c>
      <c r="G128" s="14" t="str">
        <f t="shared" si="9"/>
        <v>1015</v>
      </c>
      <c r="H128" s="14" t="str">
        <f t="shared" si="10"/>
        <v>Câmera Digital Sony Cyber - Azul</v>
      </c>
      <c r="I128" s="14" t="str">
        <f t="shared" si="11"/>
        <v>CAM</v>
      </c>
      <c r="J128" s="14" t="str">
        <f t="shared" si="12"/>
        <v>Câmera</v>
      </c>
      <c r="K128" s="14" t="str">
        <f t="shared" si="13"/>
        <v>UD13</v>
      </c>
      <c r="L128" s="14" t="str">
        <f t="shared" si="14"/>
        <v>Campinas</v>
      </c>
    </row>
    <row r="129" spans="1:12" x14ac:dyDescent="0.25">
      <c r="A129" s="15">
        <v>128</v>
      </c>
      <c r="B129" s="15" t="s">
        <v>368</v>
      </c>
      <c r="C129" s="15">
        <v>4</v>
      </c>
      <c r="D129" s="26">
        <v>10000</v>
      </c>
      <c r="E129" s="14" t="str">
        <f t="shared" si="7"/>
        <v>VA037</v>
      </c>
      <c r="F129" s="14" t="str">
        <f t="shared" si="8"/>
        <v>Fernanda Junior</v>
      </c>
      <c r="G129" s="14" t="str">
        <f t="shared" si="9"/>
        <v>1002</v>
      </c>
      <c r="H129" s="14" t="str">
        <f t="shared" si="10"/>
        <v>iPhone 7 - Dourado</v>
      </c>
      <c r="I129" s="14" t="str">
        <f t="shared" si="11"/>
        <v>CLR</v>
      </c>
      <c r="J129" s="14" t="str">
        <f t="shared" si="12"/>
        <v>Celular</v>
      </c>
      <c r="K129" s="14" t="str">
        <f t="shared" si="13"/>
        <v>UD05</v>
      </c>
      <c r="L129" s="14" t="str">
        <f t="shared" si="14"/>
        <v>Fortaleza</v>
      </c>
    </row>
    <row r="130" spans="1:12" x14ac:dyDescent="0.25">
      <c r="A130" s="15">
        <v>129</v>
      </c>
      <c r="B130" s="15" t="s">
        <v>369</v>
      </c>
      <c r="C130" s="15">
        <v>1</v>
      </c>
      <c r="D130" s="26">
        <v>4500</v>
      </c>
      <c r="E130" s="14" t="str">
        <f t="shared" si="7"/>
        <v>VA013</v>
      </c>
      <c r="F130" s="14" t="str">
        <f t="shared" si="8"/>
        <v>Eduardo Silva</v>
      </c>
      <c r="G130" s="14" t="str">
        <f t="shared" si="9"/>
        <v>1003</v>
      </c>
      <c r="H130" s="14" t="str">
        <f t="shared" si="10"/>
        <v>Galaxy S10 - Cinza</v>
      </c>
      <c r="I130" s="14" t="str">
        <f t="shared" si="11"/>
        <v>CLR</v>
      </c>
      <c r="J130" s="14" t="str">
        <f t="shared" si="12"/>
        <v>Celular</v>
      </c>
      <c r="K130" s="14" t="str">
        <f t="shared" si="13"/>
        <v>UD11</v>
      </c>
      <c r="L130" s="14" t="str">
        <f t="shared" si="14"/>
        <v>Goiânia</v>
      </c>
    </row>
    <row r="131" spans="1:12" x14ac:dyDescent="0.25">
      <c r="A131" s="15">
        <v>130</v>
      </c>
      <c r="B131" s="15" t="s">
        <v>370</v>
      </c>
      <c r="C131" s="15">
        <v>2</v>
      </c>
      <c r="D131" s="26">
        <v>11000</v>
      </c>
      <c r="E131" s="14" t="str">
        <f t="shared" ref="E131:E194" si="15">LEFT(B131, 5)</f>
        <v>VA009</v>
      </c>
      <c r="F131" s="14" t="str">
        <f t="shared" ref="F131:F194" si="16">VLOOKUP(E131, $N$2:$O$54, 2, 0)</f>
        <v>Chan Santos</v>
      </c>
      <c r="G131" s="14" t="str">
        <f t="shared" ref="G131:G194" si="17">MID(B131, 6, 4)</f>
        <v>1012</v>
      </c>
      <c r="H131" s="14" t="str">
        <f t="shared" ref="H131:H194" si="18">VLOOKUP(G131,  $Q:$U, 2, 0)</f>
        <v>Dell G7 - Vermelho</v>
      </c>
      <c r="I131" s="14" t="str">
        <f t="shared" ref="I131:I194" si="19">MID(B131, 10, 3)</f>
        <v>NTB</v>
      </c>
      <c r="J131" s="14" t="str">
        <f t="shared" ref="J131:J194" si="20">VLOOKUP(I131, $W:$X, 2, 0)</f>
        <v>Notebook</v>
      </c>
      <c r="K131" s="14" t="str">
        <f t="shared" ref="K131:K194" si="21">RIGHT(B131, 4)</f>
        <v>UD08</v>
      </c>
      <c r="L131" s="14" t="str">
        <f t="shared" ref="L131:L194" si="22">VLOOKUP(K131, $Z:$AA, 2, 0)</f>
        <v>Nova Iguaçu</v>
      </c>
    </row>
    <row r="132" spans="1:12" x14ac:dyDescent="0.25">
      <c r="A132" s="15">
        <v>131</v>
      </c>
      <c r="B132" s="15" t="s">
        <v>371</v>
      </c>
      <c r="C132" s="15">
        <v>1</v>
      </c>
      <c r="D132" s="26">
        <v>750</v>
      </c>
      <c r="E132" s="14" t="str">
        <f t="shared" si="15"/>
        <v>VA019</v>
      </c>
      <c r="F132" s="14" t="str">
        <f t="shared" si="16"/>
        <v>Victor Ferreira</v>
      </c>
      <c r="G132" s="14" t="str">
        <f t="shared" si="17"/>
        <v>1022</v>
      </c>
      <c r="H132" s="14" t="str">
        <f t="shared" si="18"/>
        <v>iPad 32GB Wifi - Prata</v>
      </c>
      <c r="I132" s="14" t="str">
        <f t="shared" si="19"/>
        <v>TBL</v>
      </c>
      <c r="J132" s="14" t="str">
        <f t="shared" si="20"/>
        <v>Tablet</v>
      </c>
      <c r="K132" s="14" t="str">
        <f t="shared" si="21"/>
        <v>UD04</v>
      </c>
      <c r="L132" s="14" t="str">
        <f t="shared" si="22"/>
        <v>Curitiba</v>
      </c>
    </row>
    <row r="133" spans="1:12" x14ac:dyDescent="0.25">
      <c r="A133" s="15">
        <v>132</v>
      </c>
      <c r="B133" s="15" t="s">
        <v>372</v>
      </c>
      <c r="C133" s="15">
        <v>4</v>
      </c>
      <c r="D133" s="26">
        <v>18000</v>
      </c>
      <c r="E133" s="14" t="str">
        <f t="shared" si="15"/>
        <v>VA050</v>
      </c>
      <c r="F133" s="14" t="str">
        <f t="shared" si="16"/>
        <v>Tayla Lima</v>
      </c>
      <c r="G133" s="14" t="str">
        <f t="shared" si="17"/>
        <v>1003</v>
      </c>
      <c r="H133" s="14" t="str">
        <f t="shared" si="18"/>
        <v>Galaxy S10 - Cinza</v>
      </c>
      <c r="I133" s="14" t="str">
        <f t="shared" si="19"/>
        <v>CLR</v>
      </c>
      <c r="J133" s="14" t="str">
        <f t="shared" si="20"/>
        <v>Celular</v>
      </c>
      <c r="K133" s="14" t="str">
        <f t="shared" si="21"/>
        <v>UD06</v>
      </c>
      <c r="L133" s="14" t="str">
        <f t="shared" si="22"/>
        <v>Recife</v>
      </c>
    </row>
    <row r="134" spans="1:12" x14ac:dyDescent="0.25">
      <c r="A134" s="15">
        <v>133</v>
      </c>
      <c r="B134" s="15" t="s">
        <v>373</v>
      </c>
      <c r="C134" s="15">
        <v>1</v>
      </c>
      <c r="D134" s="26">
        <v>1500</v>
      </c>
      <c r="E134" s="14" t="str">
        <f t="shared" si="15"/>
        <v>VA011</v>
      </c>
      <c r="F134" s="14" t="str">
        <f t="shared" si="16"/>
        <v>Raissa Negrelli</v>
      </c>
      <c r="G134" s="14" t="str">
        <f t="shared" si="17"/>
        <v>1005</v>
      </c>
      <c r="H134" s="14" t="str">
        <f t="shared" si="18"/>
        <v>Câmera Digital Rebel T6 - Preto</v>
      </c>
      <c r="I134" s="14" t="str">
        <f t="shared" si="19"/>
        <v>CAM</v>
      </c>
      <c r="J134" s="14" t="str">
        <f t="shared" si="20"/>
        <v>Câmera</v>
      </c>
      <c r="K134" s="14" t="str">
        <f t="shared" si="21"/>
        <v>UD10</v>
      </c>
      <c r="L134" s="14" t="str">
        <f t="shared" si="22"/>
        <v>Niterói</v>
      </c>
    </row>
    <row r="135" spans="1:12" x14ac:dyDescent="0.25">
      <c r="A135" s="15">
        <v>134</v>
      </c>
      <c r="B135" s="15" t="s">
        <v>374</v>
      </c>
      <c r="C135" s="15">
        <v>1</v>
      </c>
      <c r="D135" s="26">
        <v>1400</v>
      </c>
      <c r="E135" s="14" t="str">
        <f t="shared" si="15"/>
        <v>VA009</v>
      </c>
      <c r="F135" s="14" t="str">
        <f t="shared" si="16"/>
        <v>Chan Santos</v>
      </c>
      <c r="G135" s="14" t="str">
        <f t="shared" si="17"/>
        <v>1009</v>
      </c>
      <c r="H135" s="14" t="str">
        <f t="shared" si="18"/>
        <v>Moto G7 - Vermelho</v>
      </c>
      <c r="I135" s="14" t="str">
        <f t="shared" si="19"/>
        <v>CLR</v>
      </c>
      <c r="J135" s="14" t="str">
        <f t="shared" si="20"/>
        <v>Celular</v>
      </c>
      <c r="K135" s="14" t="str">
        <f t="shared" si="21"/>
        <v>UD07</v>
      </c>
      <c r="L135" s="14" t="str">
        <f t="shared" si="22"/>
        <v>Porto Alegre</v>
      </c>
    </row>
    <row r="136" spans="1:12" x14ac:dyDescent="0.25">
      <c r="A136" s="15">
        <v>135</v>
      </c>
      <c r="B136" s="15" t="s">
        <v>375</v>
      </c>
      <c r="C136" s="15">
        <v>1</v>
      </c>
      <c r="D136" s="26">
        <v>6500</v>
      </c>
      <c r="E136" s="14" t="str">
        <f t="shared" si="15"/>
        <v>VA004</v>
      </c>
      <c r="F136" s="14" t="str">
        <f t="shared" si="16"/>
        <v>Silvio Fahrnholz</v>
      </c>
      <c r="G136" s="14" t="str">
        <f t="shared" si="17"/>
        <v>1019</v>
      </c>
      <c r="H136" s="14" t="str">
        <f t="shared" si="18"/>
        <v>iPhone XS - Preto</v>
      </c>
      <c r="I136" s="14" t="str">
        <f t="shared" si="19"/>
        <v>CLR</v>
      </c>
      <c r="J136" s="14" t="str">
        <f t="shared" si="20"/>
        <v>Celular</v>
      </c>
      <c r="K136" s="14" t="str">
        <f t="shared" si="21"/>
        <v>UD01</v>
      </c>
      <c r="L136" s="14" t="str">
        <f t="shared" si="22"/>
        <v>Rio de Janeiro</v>
      </c>
    </row>
    <row r="137" spans="1:12" x14ac:dyDescent="0.25">
      <c r="A137" s="15">
        <v>136</v>
      </c>
      <c r="B137" s="15" t="s">
        <v>376</v>
      </c>
      <c r="C137" s="15">
        <v>1</v>
      </c>
      <c r="D137" s="26">
        <v>5500</v>
      </c>
      <c r="E137" s="14" t="str">
        <f t="shared" si="15"/>
        <v>VA003</v>
      </c>
      <c r="F137" s="14" t="str">
        <f t="shared" si="16"/>
        <v>Bianca Paz</v>
      </c>
      <c r="G137" s="14" t="str">
        <f t="shared" si="17"/>
        <v>1012</v>
      </c>
      <c r="H137" s="14" t="str">
        <f t="shared" si="18"/>
        <v>Dell G7 - Vermelho</v>
      </c>
      <c r="I137" s="14" t="str">
        <f t="shared" si="19"/>
        <v>NTB</v>
      </c>
      <c r="J137" s="14" t="str">
        <f t="shared" si="20"/>
        <v>Notebook</v>
      </c>
      <c r="K137" s="14" t="str">
        <f t="shared" si="21"/>
        <v>UD11</v>
      </c>
      <c r="L137" s="14" t="str">
        <f t="shared" si="22"/>
        <v>Goiânia</v>
      </c>
    </row>
    <row r="138" spans="1:12" x14ac:dyDescent="0.25">
      <c r="A138" s="15">
        <v>137</v>
      </c>
      <c r="B138" s="15" t="s">
        <v>377</v>
      </c>
      <c r="C138" s="15">
        <v>5</v>
      </c>
      <c r="D138" s="26">
        <v>9500</v>
      </c>
      <c r="E138" s="14" t="str">
        <f t="shared" si="15"/>
        <v>VA001</v>
      </c>
      <c r="F138" s="14" t="str">
        <f t="shared" si="16"/>
        <v>Sthefeson Pereira</v>
      </c>
      <c r="G138" s="14" t="str">
        <f t="shared" si="17"/>
        <v>1010</v>
      </c>
      <c r="H138" s="14" t="str">
        <f t="shared" si="18"/>
        <v>iPhone 6S - Rosa</v>
      </c>
      <c r="I138" s="14" t="str">
        <f t="shared" si="19"/>
        <v>CLR</v>
      </c>
      <c r="J138" s="14" t="str">
        <f t="shared" si="20"/>
        <v>Celular</v>
      </c>
      <c r="K138" s="14" t="str">
        <f t="shared" si="21"/>
        <v>UD11</v>
      </c>
      <c r="L138" s="14" t="str">
        <f t="shared" si="22"/>
        <v>Goiânia</v>
      </c>
    </row>
    <row r="139" spans="1:12" x14ac:dyDescent="0.25">
      <c r="A139" s="15">
        <v>138</v>
      </c>
      <c r="B139" s="15" t="s">
        <v>378</v>
      </c>
      <c r="C139" s="15">
        <v>1</v>
      </c>
      <c r="D139" s="26">
        <v>1750</v>
      </c>
      <c r="E139" s="14" t="str">
        <f t="shared" si="15"/>
        <v>VA042</v>
      </c>
      <c r="F139" s="14" t="str">
        <f t="shared" si="16"/>
        <v>Fabio Boccaletti</v>
      </c>
      <c r="G139" s="14" t="str">
        <f t="shared" si="17"/>
        <v>1004</v>
      </c>
      <c r="H139" s="14" t="str">
        <f t="shared" si="18"/>
        <v>Apple Watch - Preto</v>
      </c>
      <c r="I139" s="14" t="str">
        <f t="shared" si="19"/>
        <v>SMW</v>
      </c>
      <c r="J139" s="14" t="str">
        <f t="shared" si="20"/>
        <v>Smart Watch</v>
      </c>
      <c r="K139" s="14" t="str">
        <f t="shared" si="21"/>
        <v>UD03</v>
      </c>
      <c r="L139" s="14" t="str">
        <f t="shared" si="22"/>
        <v>Salvador</v>
      </c>
    </row>
    <row r="140" spans="1:12" x14ac:dyDescent="0.25">
      <c r="A140" s="15">
        <v>139</v>
      </c>
      <c r="B140" s="15" t="s">
        <v>379</v>
      </c>
      <c r="C140" s="15">
        <v>4</v>
      </c>
      <c r="D140" s="26">
        <v>9200</v>
      </c>
      <c r="E140" s="14" t="str">
        <f t="shared" si="15"/>
        <v>VA039</v>
      </c>
      <c r="F140" s="14" t="str">
        <f t="shared" si="16"/>
        <v>Diogo Peixoto</v>
      </c>
      <c r="G140" s="14" t="str">
        <f t="shared" si="17"/>
        <v>1007</v>
      </c>
      <c r="H140" s="14" t="str">
        <f t="shared" si="18"/>
        <v>Inspiron 15 - Prata</v>
      </c>
      <c r="I140" s="14" t="str">
        <f t="shared" si="19"/>
        <v>NTB</v>
      </c>
      <c r="J140" s="14" t="str">
        <f t="shared" si="20"/>
        <v>Notebook</v>
      </c>
      <c r="K140" s="14" t="str">
        <f t="shared" si="21"/>
        <v>UD01</v>
      </c>
      <c r="L140" s="14" t="str">
        <f t="shared" si="22"/>
        <v>Rio de Janeiro</v>
      </c>
    </row>
    <row r="141" spans="1:12" x14ac:dyDescent="0.25">
      <c r="A141" s="15">
        <v>140</v>
      </c>
      <c r="B141" s="15" t="s">
        <v>380</v>
      </c>
      <c r="C141" s="15">
        <v>2</v>
      </c>
      <c r="D141" s="26">
        <v>13000</v>
      </c>
      <c r="E141" s="14" t="str">
        <f t="shared" si="15"/>
        <v>VA001</v>
      </c>
      <c r="F141" s="14" t="str">
        <f t="shared" si="16"/>
        <v>Sthefeson Pereira</v>
      </c>
      <c r="G141" s="14" t="str">
        <f t="shared" si="17"/>
        <v>1019</v>
      </c>
      <c r="H141" s="14" t="str">
        <f t="shared" si="18"/>
        <v>iPhone XS - Preto</v>
      </c>
      <c r="I141" s="14" t="str">
        <f t="shared" si="19"/>
        <v>CLR</v>
      </c>
      <c r="J141" s="14" t="str">
        <f t="shared" si="20"/>
        <v>Celular</v>
      </c>
      <c r="K141" s="14" t="str">
        <f t="shared" si="21"/>
        <v>UD01</v>
      </c>
      <c r="L141" s="14" t="str">
        <f t="shared" si="22"/>
        <v>Rio de Janeiro</v>
      </c>
    </row>
    <row r="142" spans="1:12" x14ac:dyDescent="0.25">
      <c r="A142" s="15">
        <v>141</v>
      </c>
      <c r="B142" s="15" t="s">
        <v>381</v>
      </c>
      <c r="C142" s="15">
        <v>4</v>
      </c>
      <c r="D142" s="26">
        <v>9200</v>
      </c>
      <c r="E142" s="14" t="str">
        <f t="shared" si="15"/>
        <v>VA030</v>
      </c>
      <c r="F142" s="14" t="str">
        <f t="shared" si="16"/>
        <v>Pedro Macckione</v>
      </c>
      <c r="G142" s="14" t="str">
        <f t="shared" si="17"/>
        <v>1007</v>
      </c>
      <c r="H142" s="14" t="str">
        <f t="shared" si="18"/>
        <v>Inspiron 15 - Prata</v>
      </c>
      <c r="I142" s="14" t="str">
        <f t="shared" si="19"/>
        <v>NTB</v>
      </c>
      <c r="J142" s="14" t="str">
        <f t="shared" si="20"/>
        <v>Notebook</v>
      </c>
      <c r="K142" s="14" t="str">
        <f t="shared" si="21"/>
        <v>UD13</v>
      </c>
      <c r="L142" s="14" t="str">
        <f t="shared" si="22"/>
        <v>Campinas</v>
      </c>
    </row>
    <row r="143" spans="1:12" x14ac:dyDescent="0.25">
      <c r="A143" s="15">
        <v>142</v>
      </c>
      <c r="B143" s="15" t="s">
        <v>382</v>
      </c>
      <c r="C143" s="15">
        <v>3</v>
      </c>
      <c r="D143" s="26">
        <v>19500</v>
      </c>
      <c r="E143" s="14" t="str">
        <f t="shared" si="15"/>
        <v>VA009</v>
      </c>
      <c r="F143" s="14" t="str">
        <f t="shared" si="16"/>
        <v>Chan Santos</v>
      </c>
      <c r="G143" s="14" t="str">
        <f t="shared" si="17"/>
        <v>1019</v>
      </c>
      <c r="H143" s="14" t="str">
        <f t="shared" si="18"/>
        <v>iPhone XS - Preto</v>
      </c>
      <c r="I143" s="14" t="str">
        <f t="shared" si="19"/>
        <v>CLR</v>
      </c>
      <c r="J143" s="14" t="str">
        <f t="shared" si="20"/>
        <v>Celular</v>
      </c>
      <c r="K143" s="14" t="str">
        <f t="shared" si="21"/>
        <v>UD02</v>
      </c>
      <c r="L143" s="14" t="str">
        <f t="shared" si="22"/>
        <v>Belo Horizonte</v>
      </c>
    </row>
    <row r="144" spans="1:12" x14ac:dyDescent="0.25">
      <c r="A144" s="15">
        <v>143</v>
      </c>
      <c r="B144" s="15" t="s">
        <v>383</v>
      </c>
      <c r="C144" s="15">
        <v>1</v>
      </c>
      <c r="D144" s="26">
        <v>1500</v>
      </c>
      <c r="E144" s="14" t="str">
        <f t="shared" si="15"/>
        <v>VA045</v>
      </c>
      <c r="F144" s="14" t="str">
        <f t="shared" si="16"/>
        <v>Jéssica Resinente</v>
      </c>
      <c r="G144" s="14" t="str">
        <f t="shared" si="17"/>
        <v>1023</v>
      </c>
      <c r="H144" s="14" t="str">
        <f t="shared" si="18"/>
        <v>Samsung Dual Core - Preto</v>
      </c>
      <c r="I144" s="14" t="str">
        <f t="shared" si="19"/>
        <v>NTB</v>
      </c>
      <c r="J144" s="14" t="str">
        <f t="shared" si="20"/>
        <v>Notebook</v>
      </c>
      <c r="K144" s="14" t="str">
        <f t="shared" si="21"/>
        <v>UD06</v>
      </c>
      <c r="L144" s="14" t="str">
        <f t="shared" si="22"/>
        <v>Recife</v>
      </c>
    </row>
    <row r="145" spans="1:12" x14ac:dyDescent="0.25">
      <c r="A145" s="15">
        <v>144</v>
      </c>
      <c r="B145" s="15" t="s">
        <v>384</v>
      </c>
      <c r="C145" s="15">
        <v>1</v>
      </c>
      <c r="D145" s="26">
        <v>2000</v>
      </c>
      <c r="E145" s="14" t="str">
        <f t="shared" si="15"/>
        <v>VA046</v>
      </c>
      <c r="F145" s="14" t="str">
        <f t="shared" si="16"/>
        <v>Adrielle Forte</v>
      </c>
      <c r="G145" s="14" t="str">
        <f t="shared" si="17"/>
        <v>1008</v>
      </c>
      <c r="H145" s="14" t="str">
        <f t="shared" si="18"/>
        <v>Smart TV LED Full HD 55' - Preto</v>
      </c>
      <c r="I145" s="14" t="str">
        <f t="shared" si="19"/>
        <v>TLV</v>
      </c>
      <c r="J145" s="14" t="str">
        <f t="shared" si="20"/>
        <v>Televisão</v>
      </c>
      <c r="K145" s="14" t="str">
        <f t="shared" si="21"/>
        <v>UD07</v>
      </c>
      <c r="L145" s="14" t="str">
        <f t="shared" si="22"/>
        <v>Porto Alegre</v>
      </c>
    </row>
    <row r="146" spans="1:12" x14ac:dyDescent="0.25">
      <c r="A146" s="15">
        <v>145</v>
      </c>
      <c r="B146" s="15" t="s">
        <v>385</v>
      </c>
      <c r="C146" s="15">
        <v>1</v>
      </c>
      <c r="D146" s="26">
        <v>1400</v>
      </c>
      <c r="E146" s="14" t="str">
        <f t="shared" si="15"/>
        <v>VA028</v>
      </c>
      <c r="F146" s="14" t="str">
        <f t="shared" si="16"/>
        <v>Bernardo Nauenberg</v>
      </c>
      <c r="G146" s="14" t="str">
        <f t="shared" si="17"/>
        <v>1009</v>
      </c>
      <c r="H146" s="14" t="str">
        <f t="shared" si="18"/>
        <v>Moto G7 - Vermelho</v>
      </c>
      <c r="I146" s="14" t="str">
        <f t="shared" si="19"/>
        <v>CLR</v>
      </c>
      <c r="J146" s="14" t="str">
        <f t="shared" si="20"/>
        <v>Celular</v>
      </c>
      <c r="K146" s="14" t="str">
        <f t="shared" si="21"/>
        <v>UD01</v>
      </c>
      <c r="L146" s="14" t="str">
        <f t="shared" si="22"/>
        <v>Rio de Janeiro</v>
      </c>
    </row>
    <row r="147" spans="1:12" x14ac:dyDescent="0.25">
      <c r="A147" s="15">
        <v>146</v>
      </c>
      <c r="B147" s="15" t="s">
        <v>386</v>
      </c>
      <c r="C147" s="15">
        <v>2</v>
      </c>
      <c r="D147" s="26">
        <v>3000</v>
      </c>
      <c r="E147" s="14" t="str">
        <f t="shared" si="15"/>
        <v>VA043</v>
      </c>
      <c r="F147" s="14" t="str">
        <f t="shared" si="16"/>
        <v>Manuela Ferreira</v>
      </c>
      <c r="G147" s="14" t="str">
        <f t="shared" si="17"/>
        <v>1005</v>
      </c>
      <c r="H147" s="14" t="str">
        <f t="shared" si="18"/>
        <v>Câmera Digital Rebel T6 - Preto</v>
      </c>
      <c r="I147" s="14" t="str">
        <f t="shared" si="19"/>
        <v>CAM</v>
      </c>
      <c r="J147" s="14" t="str">
        <f t="shared" si="20"/>
        <v>Câmera</v>
      </c>
      <c r="K147" s="14" t="str">
        <f t="shared" si="21"/>
        <v>UD12</v>
      </c>
      <c r="L147" s="14" t="str">
        <f t="shared" si="22"/>
        <v>Guarulhos</v>
      </c>
    </row>
    <row r="148" spans="1:12" x14ac:dyDescent="0.25">
      <c r="A148" s="15">
        <v>147</v>
      </c>
      <c r="B148" s="15" t="s">
        <v>387</v>
      </c>
      <c r="C148" s="15">
        <v>1</v>
      </c>
      <c r="D148" s="26">
        <v>5500</v>
      </c>
      <c r="E148" s="14" t="str">
        <f t="shared" si="15"/>
        <v>VA043</v>
      </c>
      <c r="F148" s="14" t="str">
        <f t="shared" si="16"/>
        <v>Manuela Ferreira</v>
      </c>
      <c r="G148" s="14" t="str">
        <f t="shared" si="17"/>
        <v>1012</v>
      </c>
      <c r="H148" s="14" t="str">
        <f t="shared" si="18"/>
        <v>Dell G7 - Vermelho</v>
      </c>
      <c r="I148" s="14" t="str">
        <f t="shared" si="19"/>
        <v>NTB</v>
      </c>
      <c r="J148" s="14" t="str">
        <f t="shared" si="20"/>
        <v>Notebook</v>
      </c>
      <c r="K148" s="14" t="str">
        <f t="shared" si="21"/>
        <v>UD04</v>
      </c>
      <c r="L148" s="14" t="str">
        <f t="shared" si="22"/>
        <v>Curitiba</v>
      </c>
    </row>
    <row r="149" spans="1:12" x14ac:dyDescent="0.25">
      <c r="A149" s="15">
        <v>148</v>
      </c>
      <c r="B149" s="15" t="s">
        <v>388</v>
      </c>
      <c r="C149" s="15">
        <v>1</v>
      </c>
      <c r="D149" s="26">
        <v>1750</v>
      </c>
      <c r="E149" s="14" t="str">
        <f t="shared" si="15"/>
        <v>VA049</v>
      </c>
      <c r="F149" s="14" t="str">
        <f t="shared" si="16"/>
        <v>Juliana Souza</v>
      </c>
      <c r="G149" s="14" t="str">
        <f t="shared" si="17"/>
        <v>1004</v>
      </c>
      <c r="H149" s="14" t="str">
        <f t="shared" si="18"/>
        <v>Apple Watch - Preto</v>
      </c>
      <c r="I149" s="14" t="str">
        <f t="shared" si="19"/>
        <v>SMW</v>
      </c>
      <c r="J149" s="14" t="str">
        <f t="shared" si="20"/>
        <v>Smart Watch</v>
      </c>
      <c r="K149" s="14" t="str">
        <f t="shared" si="21"/>
        <v>UD04</v>
      </c>
      <c r="L149" s="14" t="str">
        <f t="shared" si="22"/>
        <v>Curitiba</v>
      </c>
    </row>
    <row r="150" spans="1:12" x14ac:dyDescent="0.25">
      <c r="A150" s="15">
        <v>149</v>
      </c>
      <c r="B150" s="15" t="s">
        <v>389</v>
      </c>
      <c r="C150" s="15">
        <v>1</v>
      </c>
      <c r="D150" s="26">
        <v>1400</v>
      </c>
      <c r="E150" s="14" t="str">
        <f t="shared" si="15"/>
        <v>VA038</v>
      </c>
      <c r="F150" s="14" t="str">
        <f t="shared" si="16"/>
        <v>Bianca Procaci</v>
      </c>
      <c r="G150" s="14" t="str">
        <f t="shared" si="17"/>
        <v>1006</v>
      </c>
      <c r="H150" s="14" t="str">
        <f t="shared" si="18"/>
        <v>TV LED 32' - Preto</v>
      </c>
      <c r="I150" s="14" t="str">
        <f t="shared" si="19"/>
        <v>TLV</v>
      </c>
      <c r="J150" s="14" t="str">
        <f t="shared" si="20"/>
        <v>Televisão</v>
      </c>
      <c r="K150" s="14" t="str">
        <f t="shared" si="21"/>
        <v>UD04</v>
      </c>
      <c r="L150" s="14" t="str">
        <f t="shared" si="22"/>
        <v>Curitiba</v>
      </c>
    </row>
    <row r="151" spans="1:12" x14ac:dyDescent="0.25">
      <c r="A151" s="15">
        <v>150</v>
      </c>
      <c r="B151" s="15" t="s">
        <v>390</v>
      </c>
      <c r="C151" s="15">
        <v>1</v>
      </c>
      <c r="D151" s="26">
        <v>1100</v>
      </c>
      <c r="E151" s="14" t="str">
        <f t="shared" si="15"/>
        <v>VA042</v>
      </c>
      <c r="F151" s="14" t="str">
        <f t="shared" si="16"/>
        <v>Fabio Boccaletti</v>
      </c>
      <c r="G151" s="14" t="str">
        <f t="shared" si="17"/>
        <v>1014</v>
      </c>
      <c r="H151" s="14" t="str">
        <f t="shared" si="18"/>
        <v>Galaxy J8 - Roxo</v>
      </c>
      <c r="I151" s="14" t="str">
        <f t="shared" si="19"/>
        <v>CLR</v>
      </c>
      <c r="J151" s="14" t="str">
        <f t="shared" si="20"/>
        <v>Celular</v>
      </c>
      <c r="K151" s="14" t="str">
        <f t="shared" si="21"/>
        <v>UD13</v>
      </c>
      <c r="L151" s="14" t="str">
        <f t="shared" si="22"/>
        <v>Campinas</v>
      </c>
    </row>
    <row r="152" spans="1:12" x14ac:dyDescent="0.25">
      <c r="A152" s="15">
        <v>151</v>
      </c>
      <c r="B152" s="15" t="s">
        <v>391</v>
      </c>
      <c r="C152" s="15">
        <v>3</v>
      </c>
      <c r="D152" s="26">
        <v>15600</v>
      </c>
      <c r="E152" s="14" t="str">
        <f t="shared" si="15"/>
        <v>VA038</v>
      </c>
      <c r="F152" s="14" t="str">
        <f t="shared" si="16"/>
        <v>Bianca Procaci</v>
      </c>
      <c r="G152" s="14" t="str">
        <f t="shared" si="17"/>
        <v>1017</v>
      </c>
      <c r="H152" s="14" t="str">
        <f t="shared" si="18"/>
        <v>Smart TV 75' 4K - Preto</v>
      </c>
      <c r="I152" s="14" t="str">
        <f t="shared" si="19"/>
        <v>TLV</v>
      </c>
      <c r="J152" s="14" t="str">
        <f t="shared" si="20"/>
        <v>Televisão</v>
      </c>
      <c r="K152" s="14" t="str">
        <f t="shared" si="21"/>
        <v>UD03</v>
      </c>
      <c r="L152" s="14" t="str">
        <f t="shared" si="22"/>
        <v>Salvador</v>
      </c>
    </row>
    <row r="153" spans="1:12" x14ac:dyDescent="0.25">
      <c r="A153" s="15">
        <v>152</v>
      </c>
      <c r="B153" s="15" t="s">
        <v>392</v>
      </c>
      <c r="C153" s="15">
        <v>1</v>
      </c>
      <c r="D153" s="26">
        <v>1500</v>
      </c>
      <c r="E153" s="14" t="str">
        <f t="shared" si="15"/>
        <v>VA033</v>
      </c>
      <c r="F153" s="14" t="str">
        <f t="shared" si="16"/>
        <v>Raíza Lopes</v>
      </c>
      <c r="G153" s="14" t="str">
        <f t="shared" si="17"/>
        <v>1023</v>
      </c>
      <c r="H153" s="14" t="str">
        <f t="shared" si="18"/>
        <v>Samsung Dual Core - Preto</v>
      </c>
      <c r="I153" s="14" t="str">
        <f t="shared" si="19"/>
        <v>NTB</v>
      </c>
      <c r="J153" s="14" t="str">
        <f t="shared" si="20"/>
        <v>Notebook</v>
      </c>
      <c r="K153" s="14" t="str">
        <f t="shared" si="21"/>
        <v>UD05</v>
      </c>
      <c r="L153" s="14" t="str">
        <f t="shared" si="22"/>
        <v>Fortaleza</v>
      </c>
    </row>
    <row r="154" spans="1:12" x14ac:dyDescent="0.25">
      <c r="A154" s="15">
        <v>153</v>
      </c>
      <c r="B154" s="15" t="s">
        <v>393</v>
      </c>
      <c r="C154" s="15">
        <v>5</v>
      </c>
      <c r="D154" s="26">
        <v>6000</v>
      </c>
      <c r="E154" s="14" t="str">
        <f t="shared" si="15"/>
        <v>VA012</v>
      </c>
      <c r="F154" s="14" t="str">
        <f t="shared" si="16"/>
        <v>Arthur Rocha</v>
      </c>
      <c r="G154" s="14" t="str">
        <f t="shared" si="17"/>
        <v>1018</v>
      </c>
      <c r="H154" s="14" t="str">
        <f t="shared" si="18"/>
        <v>Smart Watch MI - Amarelo</v>
      </c>
      <c r="I154" s="14" t="str">
        <f t="shared" si="19"/>
        <v>SMW</v>
      </c>
      <c r="J154" s="14" t="str">
        <f t="shared" si="20"/>
        <v>Smart Watch</v>
      </c>
      <c r="K154" s="14" t="str">
        <f t="shared" si="21"/>
        <v>UD12</v>
      </c>
      <c r="L154" s="14" t="str">
        <f t="shared" si="22"/>
        <v>Guarulhos</v>
      </c>
    </row>
    <row r="155" spans="1:12" x14ac:dyDescent="0.25">
      <c r="A155" s="15">
        <v>154</v>
      </c>
      <c r="B155" s="15" t="s">
        <v>394</v>
      </c>
      <c r="C155" s="15">
        <v>5</v>
      </c>
      <c r="D155" s="26">
        <v>32500</v>
      </c>
      <c r="E155" s="14" t="str">
        <f t="shared" si="15"/>
        <v>VA004</v>
      </c>
      <c r="F155" s="14" t="str">
        <f t="shared" si="16"/>
        <v>Silvio Fahrnholz</v>
      </c>
      <c r="G155" s="14" t="str">
        <f t="shared" si="17"/>
        <v>1019</v>
      </c>
      <c r="H155" s="14" t="str">
        <f t="shared" si="18"/>
        <v>iPhone XS - Preto</v>
      </c>
      <c r="I155" s="14" t="str">
        <f t="shared" si="19"/>
        <v>CLR</v>
      </c>
      <c r="J155" s="14" t="str">
        <f t="shared" si="20"/>
        <v>Celular</v>
      </c>
      <c r="K155" s="14" t="str">
        <f t="shared" si="21"/>
        <v>UD12</v>
      </c>
      <c r="L155" s="14" t="str">
        <f t="shared" si="22"/>
        <v>Guarulhos</v>
      </c>
    </row>
    <row r="156" spans="1:12" x14ac:dyDescent="0.25">
      <c r="A156" s="15">
        <v>155</v>
      </c>
      <c r="B156" s="15" t="s">
        <v>395</v>
      </c>
      <c r="C156" s="15">
        <v>4</v>
      </c>
      <c r="D156" s="26">
        <v>8000</v>
      </c>
      <c r="E156" s="14" t="str">
        <f t="shared" si="15"/>
        <v>VA040</v>
      </c>
      <c r="F156" s="14" t="str">
        <f t="shared" si="16"/>
        <v>Cícero Lima</v>
      </c>
      <c r="G156" s="14" t="str">
        <f t="shared" si="17"/>
        <v>1008</v>
      </c>
      <c r="H156" s="14" t="str">
        <f t="shared" si="18"/>
        <v>Smart TV LED Full HD 55' - Preto</v>
      </c>
      <c r="I156" s="14" t="str">
        <f t="shared" si="19"/>
        <v>TLV</v>
      </c>
      <c r="J156" s="14" t="str">
        <f t="shared" si="20"/>
        <v>Televisão</v>
      </c>
      <c r="K156" s="14" t="str">
        <f t="shared" si="21"/>
        <v>UD07</v>
      </c>
      <c r="L156" s="14" t="str">
        <f t="shared" si="22"/>
        <v>Porto Alegre</v>
      </c>
    </row>
    <row r="157" spans="1:12" x14ac:dyDescent="0.25">
      <c r="A157" s="15">
        <v>156</v>
      </c>
      <c r="B157" s="15" t="s">
        <v>396</v>
      </c>
      <c r="C157" s="15">
        <v>1</v>
      </c>
      <c r="D157" s="26">
        <v>5500</v>
      </c>
      <c r="E157" s="14" t="str">
        <f t="shared" si="15"/>
        <v>VA036</v>
      </c>
      <c r="F157" s="14" t="str">
        <f t="shared" si="16"/>
        <v>Luíza Melo</v>
      </c>
      <c r="G157" s="14" t="str">
        <f t="shared" si="17"/>
        <v>1012</v>
      </c>
      <c r="H157" s="14" t="str">
        <f t="shared" si="18"/>
        <v>Dell G7 - Vermelho</v>
      </c>
      <c r="I157" s="14" t="str">
        <f t="shared" si="19"/>
        <v>NTB</v>
      </c>
      <c r="J157" s="14" t="str">
        <f t="shared" si="20"/>
        <v>Notebook</v>
      </c>
      <c r="K157" s="14" t="str">
        <f t="shared" si="21"/>
        <v>UD13</v>
      </c>
      <c r="L157" s="14" t="str">
        <f t="shared" si="22"/>
        <v>Campinas</v>
      </c>
    </row>
    <row r="158" spans="1:12" x14ac:dyDescent="0.25">
      <c r="A158" s="15">
        <v>157</v>
      </c>
      <c r="B158" s="15" t="s">
        <v>397</v>
      </c>
      <c r="C158" s="15">
        <v>3</v>
      </c>
      <c r="D158" s="26">
        <v>5250</v>
      </c>
      <c r="E158" s="14" t="str">
        <f t="shared" si="15"/>
        <v>VA045</v>
      </c>
      <c r="F158" s="14" t="str">
        <f t="shared" si="16"/>
        <v>Jéssica Resinente</v>
      </c>
      <c r="G158" s="14" t="str">
        <f t="shared" si="17"/>
        <v>1004</v>
      </c>
      <c r="H158" s="14" t="str">
        <f t="shared" si="18"/>
        <v>Apple Watch - Preto</v>
      </c>
      <c r="I158" s="14" t="str">
        <f t="shared" si="19"/>
        <v>SMW</v>
      </c>
      <c r="J158" s="14" t="str">
        <f t="shared" si="20"/>
        <v>Smart Watch</v>
      </c>
      <c r="K158" s="14" t="str">
        <f t="shared" si="21"/>
        <v>UD03</v>
      </c>
      <c r="L158" s="14" t="str">
        <f t="shared" si="22"/>
        <v>Salvador</v>
      </c>
    </row>
    <row r="159" spans="1:12" x14ac:dyDescent="0.25">
      <c r="A159" s="15">
        <v>158</v>
      </c>
      <c r="B159" s="15" t="s">
        <v>398</v>
      </c>
      <c r="C159" s="15">
        <v>1</v>
      </c>
      <c r="D159" s="26">
        <v>1100</v>
      </c>
      <c r="E159" s="14" t="str">
        <f t="shared" si="15"/>
        <v>VA046</v>
      </c>
      <c r="F159" s="14" t="str">
        <f t="shared" si="16"/>
        <v>Adrielle Forte</v>
      </c>
      <c r="G159" s="14" t="str">
        <f t="shared" si="17"/>
        <v>1014</v>
      </c>
      <c r="H159" s="14" t="str">
        <f t="shared" si="18"/>
        <v>Galaxy J8 - Roxo</v>
      </c>
      <c r="I159" s="14" t="str">
        <f t="shared" si="19"/>
        <v>CLR</v>
      </c>
      <c r="J159" s="14" t="str">
        <f t="shared" si="20"/>
        <v>Celular</v>
      </c>
      <c r="K159" s="14" t="str">
        <f t="shared" si="21"/>
        <v>UD04</v>
      </c>
      <c r="L159" s="14" t="str">
        <f t="shared" si="22"/>
        <v>Curitiba</v>
      </c>
    </row>
    <row r="160" spans="1:12" x14ac:dyDescent="0.25">
      <c r="A160" s="15">
        <v>159</v>
      </c>
      <c r="B160" s="15" t="s">
        <v>399</v>
      </c>
      <c r="C160" s="15">
        <v>3</v>
      </c>
      <c r="D160" s="26">
        <v>3300</v>
      </c>
      <c r="E160" s="14" t="str">
        <f t="shared" si="15"/>
        <v>VA015</v>
      </c>
      <c r="F160" s="14" t="str">
        <f t="shared" si="16"/>
        <v>Caio Caldas</v>
      </c>
      <c r="G160" s="14" t="str">
        <f t="shared" si="17"/>
        <v>1014</v>
      </c>
      <c r="H160" s="14" t="str">
        <f t="shared" si="18"/>
        <v>Galaxy J8 - Roxo</v>
      </c>
      <c r="I160" s="14" t="str">
        <f t="shared" si="19"/>
        <v>CLR</v>
      </c>
      <c r="J160" s="14" t="str">
        <f t="shared" si="20"/>
        <v>Celular</v>
      </c>
      <c r="K160" s="14" t="str">
        <f t="shared" si="21"/>
        <v>UD03</v>
      </c>
      <c r="L160" s="14" t="str">
        <f t="shared" si="22"/>
        <v>Salvador</v>
      </c>
    </row>
    <row r="161" spans="1:12" x14ac:dyDescent="0.25">
      <c r="A161" s="15">
        <v>160</v>
      </c>
      <c r="B161" s="15" t="s">
        <v>400</v>
      </c>
      <c r="C161" s="15">
        <v>1</v>
      </c>
      <c r="D161" s="26">
        <v>1100</v>
      </c>
      <c r="E161" s="14" t="str">
        <f t="shared" si="15"/>
        <v>VA040</v>
      </c>
      <c r="F161" s="14" t="str">
        <f t="shared" si="16"/>
        <v>Cícero Lima</v>
      </c>
      <c r="G161" s="14" t="str">
        <f t="shared" si="17"/>
        <v>1014</v>
      </c>
      <c r="H161" s="14" t="str">
        <f t="shared" si="18"/>
        <v>Galaxy J8 - Roxo</v>
      </c>
      <c r="I161" s="14" t="str">
        <f t="shared" si="19"/>
        <v>CLR</v>
      </c>
      <c r="J161" s="14" t="str">
        <f t="shared" si="20"/>
        <v>Celular</v>
      </c>
      <c r="K161" s="14" t="str">
        <f t="shared" si="21"/>
        <v>UD05</v>
      </c>
      <c r="L161" s="14" t="str">
        <f t="shared" si="22"/>
        <v>Fortaleza</v>
      </c>
    </row>
    <row r="162" spans="1:12" x14ac:dyDescent="0.25">
      <c r="A162" s="15">
        <v>161</v>
      </c>
      <c r="B162" s="15" t="s">
        <v>401</v>
      </c>
      <c r="C162" s="15">
        <v>1</v>
      </c>
      <c r="D162" s="26">
        <v>2600</v>
      </c>
      <c r="E162" s="14" t="str">
        <f t="shared" si="15"/>
        <v>VA026</v>
      </c>
      <c r="F162" s="14" t="str">
        <f t="shared" si="16"/>
        <v>Bruna Ramos</v>
      </c>
      <c r="G162" s="14" t="str">
        <f t="shared" si="17"/>
        <v>1001</v>
      </c>
      <c r="H162" s="14" t="str">
        <f t="shared" si="18"/>
        <v>Smart TV 50' 4K - Preto</v>
      </c>
      <c r="I162" s="14" t="str">
        <f t="shared" si="19"/>
        <v>TLV</v>
      </c>
      <c r="J162" s="14" t="str">
        <f t="shared" si="20"/>
        <v>Televisão</v>
      </c>
      <c r="K162" s="14" t="str">
        <f t="shared" si="21"/>
        <v>UD04</v>
      </c>
      <c r="L162" s="14" t="str">
        <f t="shared" si="22"/>
        <v>Curitiba</v>
      </c>
    </row>
    <row r="163" spans="1:12" x14ac:dyDescent="0.25">
      <c r="A163" s="15">
        <v>162</v>
      </c>
      <c r="B163" s="15" t="s">
        <v>402</v>
      </c>
      <c r="C163" s="15">
        <v>1</v>
      </c>
      <c r="D163" s="26">
        <v>2000</v>
      </c>
      <c r="E163" s="14" t="str">
        <f t="shared" si="15"/>
        <v>VA038</v>
      </c>
      <c r="F163" s="14" t="str">
        <f t="shared" si="16"/>
        <v>Bianca Procaci</v>
      </c>
      <c r="G163" s="14" t="str">
        <f t="shared" si="17"/>
        <v>1008</v>
      </c>
      <c r="H163" s="14" t="str">
        <f t="shared" si="18"/>
        <v>Smart TV LED Full HD 55' - Preto</v>
      </c>
      <c r="I163" s="14" t="str">
        <f t="shared" si="19"/>
        <v>TLV</v>
      </c>
      <c r="J163" s="14" t="str">
        <f t="shared" si="20"/>
        <v>Televisão</v>
      </c>
      <c r="K163" s="14" t="str">
        <f t="shared" si="21"/>
        <v>UD13</v>
      </c>
      <c r="L163" s="14" t="str">
        <f t="shared" si="22"/>
        <v>Campinas</v>
      </c>
    </row>
    <row r="164" spans="1:12" x14ac:dyDescent="0.25">
      <c r="A164" s="15">
        <v>163</v>
      </c>
      <c r="B164" s="15" t="s">
        <v>403</v>
      </c>
      <c r="C164" s="15">
        <v>1</v>
      </c>
      <c r="D164" s="26">
        <v>2600</v>
      </c>
      <c r="E164" s="14" t="str">
        <f t="shared" si="15"/>
        <v>VA035</v>
      </c>
      <c r="F164" s="14" t="str">
        <f t="shared" si="16"/>
        <v>Larissa Florim</v>
      </c>
      <c r="G164" s="14" t="str">
        <f t="shared" si="17"/>
        <v>1001</v>
      </c>
      <c r="H164" s="14" t="str">
        <f t="shared" si="18"/>
        <v>Smart TV 50' 4K - Preto</v>
      </c>
      <c r="I164" s="14" t="str">
        <f t="shared" si="19"/>
        <v>TLV</v>
      </c>
      <c r="J164" s="14" t="str">
        <f t="shared" si="20"/>
        <v>Televisão</v>
      </c>
      <c r="K164" s="14" t="str">
        <f t="shared" si="21"/>
        <v>UD09</v>
      </c>
      <c r="L164" s="14" t="str">
        <f t="shared" si="22"/>
        <v>São Paulo</v>
      </c>
    </row>
    <row r="165" spans="1:12" x14ac:dyDescent="0.25">
      <c r="A165" s="15">
        <v>164</v>
      </c>
      <c r="B165" s="15" t="s">
        <v>404</v>
      </c>
      <c r="C165" s="15">
        <v>4</v>
      </c>
      <c r="D165" s="26">
        <v>5600</v>
      </c>
      <c r="E165" s="14" t="str">
        <f t="shared" si="15"/>
        <v>VA030</v>
      </c>
      <c r="F165" s="14" t="str">
        <f t="shared" si="16"/>
        <v>Pedro Macckione</v>
      </c>
      <c r="G165" s="14" t="str">
        <f t="shared" si="17"/>
        <v>1006</v>
      </c>
      <c r="H165" s="14" t="str">
        <f t="shared" si="18"/>
        <v>TV LED 32' - Preto</v>
      </c>
      <c r="I165" s="14" t="str">
        <f t="shared" si="19"/>
        <v>TLV</v>
      </c>
      <c r="J165" s="14" t="str">
        <f t="shared" si="20"/>
        <v>Televisão</v>
      </c>
      <c r="K165" s="14" t="str">
        <f t="shared" si="21"/>
        <v>UD09</v>
      </c>
      <c r="L165" s="14" t="str">
        <f t="shared" si="22"/>
        <v>São Paulo</v>
      </c>
    </row>
    <row r="166" spans="1:12" x14ac:dyDescent="0.25">
      <c r="A166" s="15">
        <v>165</v>
      </c>
      <c r="B166" s="15" t="s">
        <v>367</v>
      </c>
      <c r="C166" s="15">
        <v>5</v>
      </c>
      <c r="D166" s="26">
        <v>3500</v>
      </c>
      <c r="E166" s="14" t="str">
        <f t="shared" si="15"/>
        <v>VA032</v>
      </c>
      <c r="F166" s="14" t="str">
        <f t="shared" si="16"/>
        <v>Isabela Resende</v>
      </c>
      <c r="G166" s="14" t="str">
        <f t="shared" si="17"/>
        <v>1015</v>
      </c>
      <c r="H166" s="14" t="str">
        <f t="shared" si="18"/>
        <v>Câmera Digital Sony Cyber - Azul</v>
      </c>
      <c r="I166" s="14" t="str">
        <f t="shared" si="19"/>
        <v>CAM</v>
      </c>
      <c r="J166" s="14" t="str">
        <f t="shared" si="20"/>
        <v>Câmera</v>
      </c>
      <c r="K166" s="14" t="str">
        <f t="shared" si="21"/>
        <v>UD13</v>
      </c>
      <c r="L166" s="14" t="str">
        <f t="shared" si="22"/>
        <v>Campinas</v>
      </c>
    </row>
    <row r="167" spans="1:12" x14ac:dyDescent="0.25">
      <c r="A167" s="15">
        <v>166</v>
      </c>
      <c r="B167" s="15" t="s">
        <v>405</v>
      </c>
      <c r="C167" s="15">
        <v>2</v>
      </c>
      <c r="D167" s="26">
        <v>13000</v>
      </c>
      <c r="E167" s="14" t="str">
        <f t="shared" si="15"/>
        <v>VA031</v>
      </c>
      <c r="F167" s="14" t="str">
        <f t="shared" si="16"/>
        <v>Giuseppe Bhering</v>
      </c>
      <c r="G167" s="14" t="str">
        <f t="shared" si="17"/>
        <v>1019</v>
      </c>
      <c r="H167" s="14" t="str">
        <f t="shared" si="18"/>
        <v>iPhone XS - Preto</v>
      </c>
      <c r="I167" s="14" t="str">
        <f t="shared" si="19"/>
        <v>CLR</v>
      </c>
      <c r="J167" s="14" t="str">
        <f t="shared" si="20"/>
        <v>Celular</v>
      </c>
      <c r="K167" s="14" t="str">
        <f t="shared" si="21"/>
        <v>UD12</v>
      </c>
      <c r="L167" s="14" t="str">
        <f t="shared" si="22"/>
        <v>Guarulhos</v>
      </c>
    </row>
    <row r="168" spans="1:12" x14ac:dyDescent="0.25">
      <c r="A168" s="15">
        <v>167</v>
      </c>
      <c r="B168" s="15" t="s">
        <v>406</v>
      </c>
      <c r="C168" s="15">
        <v>2</v>
      </c>
      <c r="D168" s="26">
        <v>5000</v>
      </c>
      <c r="E168" s="14" t="str">
        <f t="shared" si="15"/>
        <v>VA048</v>
      </c>
      <c r="F168" s="14" t="str">
        <f t="shared" si="16"/>
        <v>Pedro Jorge</v>
      </c>
      <c r="G168" s="14" t="str">
        <f t="shared" si="17"/>
        <v>1002</v>
      </c>
      <c r="H168" s="14" t="str">
        <f t="shared" si="18"/>
        <v>iPhone 7 - Dourado</v>
      </c>
      <c r="I168" s="14" t="str">
        <f t="shared" si="19"/>
        <v>CLR</v>
      </c>
      <c r="J168" s="14" t="str">
        <f t="shared" si="20"/>
        <v>Celular</v>
      </c>
      <c r="K168" s="14" t="str">
        <f t="shared" si="21"/>
        <v>UD09</v>
      </c>
      <c r="L168" s="14" t="str">
        <f t="shared" si="22"/>
        <v>São Paulo</v>
      </c>
    </row>
    <row r="169" spans="1:12" x14ac:dyDescent="0.25">
      <c r="A169" s="15">
        <v>168</v>
      </c>
      <c r="B169" s="15" t="s">
        <v>407</v>
      </c>
      <c r="C169" s="15">
        <v>1</v>
      </c>
      <c r="D169" s="26">
        <v>2600</v>
      </c>
      <c r="E169" s="14" t="str">
        <f t="shared" si="15"/>
        <v>VA033</v>
      </c>
      <c r="F169" s="14" t="str">
        <f t="shared" si="16"/>
        <v>Raíza Lopes</v>
      </c>
      <c r="G169" s="14" t="str">
        <f t="shared" si="17"/>
        <v>1001</v>
      </c>
      <c r="H169" s="14" t="str">
        <f t="shared" si="18"/>
        <v>Smart TV 50' 4K - Preto</v>
      </c>
      <c r="I169" s="14" t="str">
        <f t="shared" si="19"/>
        <v>TLV</v>
      </c>
      <c r="J169" s="14" t="str">
        <f t="shared" si="20"/>
        <v>Televisão</v>
      </c>
      <c r="K169" s="14" t="str">
        <f t="shared" si="21"/>
        <v>UD13</v>
      </c>
      <c r="L169" s="14" t="str">
        <f t="shared" si="22"/>
        <v>Campinas</v>
      </c>
    </row>
    <row r="170" spans="1:12" x14ac:dyDescent="0.25">
      <c r="A170" s="15">
        <v>169</v>
      </c>
      <c r="B170" s="15" t="s">
        <v>408</v>
      </c>
      <c r="C170" s="15">
        <v>1</v>
      </c>
      <c r="D170" s="26">
        <v>5200</v>
      </c>
      <c r="E170" s="14" t="str">
        <f t="shared" si="15"/>
        <v>VA027</v>
      </c>
      <c r="F170" s="14" t="str">
        <f t="shared" si="16"/>
        <v>Caio Vianna</v>
      </c>
      <c r="G170" s="14" t="str">
        <f t="shared" si="17"/>
        <v>1017</v>
      </c>
      <c r="H170" s="14" t="str">
        <f t="shared" si="18"/>
        <v>Smart TV 75' 4K - Preto</v>
      </c>
      <c r="I170" s="14" t="str">
        <f t="shared" si="19"/>
        <v>TLV</v>
      </c>
      <c r="J170" s="14" t="str">
        <f t="shared" si="20"/>
        <v>Televisão</v>
      </c>
      <c r="K170" s="14" t="str">
        <f t="shared" si="21"/>
        <v>UD11</v>
      </c>
      <c r="L170" s="14" t="str">
        <f t="shared" si="22"/>
        <v>Goiânia</v>
      </c>
    </row>
    <row r="171" spans="1:12" x14ac:dyDescent="0.25">
      <c r="A171" s="15">
        <v>170</v>
      </c>
      <c r="B171" s="15" t="s">
        <v>409</v>
      </c>
      <c r="C171" s="15">
        <v>3</v>
      </c>
      <c r="D171" s="26">
        <v>4500</v>
      </c>
      <c r="E171" s="14" t="str">
        <f t="shared" si="15"/>
        <v>VA035</v>
      </c>
      <c r="F171" s="14" t="str">
        <f t="shared" si="16"/>
        <v>Larissa Florim</v>
      </c>
      <c r="G171" s="14" t="str">
        <f t="shared" si="17"/>
        <v>1020</v>
      </c>
      <c r="H171" s="14" t="str">
        <f t="shared" si="18"/>
        <v>Moto Z - Vermelho</v>
      </c>
      <c r="I171" s="14" t="str">
        <f t="shared" si="19"/>
        <v>CLR</v>
      </c>
      <c r="J171" s="14" t="str">
        <f t="shared" si="20"/>
        <v>Celular</v>
      </c>
      <c r="K171" s="14" t="str">
        <f t="shared" si="21"/>
        <v>UD04</v>
      </c>
      <c r="L171" s="14" t="str">
        <f t="shared" si="22"/>
        <v>Curitiba</v>
      </c>
    </row>
    <row r="172" spans="1:12" x14ac:dyDescent="0.25">
      <c r="A172" s="15">
        <v>171</v>
      </c>
      <c r="B172" s="15" t="s">
        <v>410</v>
      </c>
      <c r="C172" s="15">
        <v>1</v>
      </c>
      <c r="D172" s="26">
        <v>5200</v>
      </c>
      <c r="E172" s="14" t="str">
        <f t="shared" si="15"/>
        <v>VA052</v>
      </c>
      <c r="F172" s="14" t="str">
        <f t="shared" si="16"/>
        <v>Beatriz Silva</v>
      </c>
      <c r="G172" s="14" t="str">
        <f t="shared" si="17"/>
        <v>1017</v>
      </c>
      <c r="H172" s="14" t="str">
        <f t="shared" si="18"/>
        <v>Smart TV 75' 4K - Preto</v>
      </c>
      <c r="I172" s="14" t="str">
        <f t="shared" si="19"/>
        <v>TLV</v>
      </c>
      <c r="J172" s="14" t="str">
        <f t="shared" si="20"/>
        <v>Televisão</v>
      </c>
      <c r="K172" s="14" t="str">
        <f t="shared" si="21"/>
        <v>UD02</v>
      </c>
      <c r="L172" s="14" t="str">
        <f t="shared" si="22"/>
        <v>Belo Horizonte</v>
      </c>
    </row>
    <row r="173" spans="1:12" x14ac:dyDescent="0.25">
      <c r="A173" s="15">
        <v>172</v>
      </c>
      <c r="B173" s="15" t="s">
        <v>411</v>
      </c>
      <c r="C173" s="15">
        <v>3</v>
      </c>
      <c r="D173" s="26">
        <v>6000</v>
      </c>
      <c r="E173" s="14" t="str">
        <f t="shared" si="15"/>
        <v>VA043</v>
      </c>
      <c r="F173" s="14" t="str">
        <f t="shared" si="16"/>
        <v>Manuela Ferreira</v>
      </c>
      <c r="G173" s="14" t="str">
        <f t="shared" si="17"/>
        <v>1008</v>
      </c>
      <c r="H173" s="14" t="str">
        <f t="shared" si="18"/>
        <v>Smart TV LED Full HD 55' - Preto</v>
      </c>
      <c r="I173" s="14" t="str">
        <f t="shared" si="19"/>
        <v>TLV</v>
      </c>
      <c r="J173" s="14" t="str">
        <f t="shared" si="20"/>
        <v>Televisão</v>
      </c>
      <c r="K173" s="14" t="str">
        <f t="shared" si="21"/>
        <v>UD03</v>
      </c>
      <c r="L173" s="14" t="str">
        <f t="shared" si="22"/>
        <v>Salvador</v>
      </c>
    </row>
    <row r="174" spans="1:12" x14ac:dyDescent="0.25">
      <c r="A174" s="15">
        <v>173</v>
      </c>
      <c r="B174" s="15" t="s">
        <v>412</v>
      </c>
      <c r="C174" s="15">
        <v>1</v>
      </c>
      <c r="D174" s="26">
        <v>2000</v>
      </c>
      <c r="E174" s="14" t="str">
        <f t="shared" si="15"/>
        <v>VA016</v>
      </c>
      <c r="F174" s="14" t="str">
        <f t="shared" si="16"/>
        <v>Tiago Pereira</v>
      </c>
      <c r="G174" s="14" t="str">
        <f t="shared" si="17"/>
        <v>1008</v>
      </c>
      <c r="H174" s="14" t="str">
        <f t="shared" si="18"/>
        <v>Smart TV LED Full HD 55' - Preto</v>
      </c>
      <c r="I174" s="14" t="str">
        <f t="shared" si="19"/>
        <v>TLV</v>
      </c>
      <c r="J174" s="14" t="str">
        <f t="shared" si="20"/>
        <v>Televisão</v>
      </c>
      <c r="K174" s="14" t="str">
        <f t="shared" si="21"/>
        <v>UD05</v>
      </c>
      <c r="L174" s="14" t="str">
        <f t="shared" si="22"/>
        <v>Fortaleza</v>
      </c>
    </row>
    <row r="175" spans="1:12" x14ac:dyDescent="0.25">
      <c r="A175" s="15">
        <v>174</v>
      </c>
      <c r="B175" s="15" t="s">
        <v>413</v>
      </c>
      <c r="C175" s="15">
        <v>3</v>
      </c>
      <c r="D175" s="26">
        <v>7500</v>
      </c>
      <c r="E175" s="14" t="str">
        <f t="shared" si="15"/>
        <v>VA004</v>
      </c>
      <c r="F175" s="14" t="str">
        <f t="shared" si="16"/>
        <v>Silvio Fahrnholz</v>
      </c>
      <c r="G175" s="14" t="str">
        <f t="shared" si="17"/>
        <v>1002</v>
      </c>
      <c r="H175" s="14" t="str">
        <f t="shared" si="18"/>
        <v>iPhone 7 - Dourado</v>
      </c>
      <c r="I175" s="14" t="str">
        <f t="shared" si="19"/>
        <v>CLR</v>
      </c>
      <c r="J175" s="14" t="str">
        <f t="shared" si="20"/>
        <v>Celular</v>
      </c>
      <c r="K175" s="14" t="str">
        <f t="shared" si="21"/>
        <v>UD09</v>
      </c>
      <c r="L175" s="14" t="str">
        <f t="shared" si="22"/>
        <v>São Paulo</v>
      </c>
    </row>
    <row r="176" spans="1:12" x14ac:dyDescent="0.25">
      <c r="A176" s="15">
        <v>175</v>
      </c>
      <c r="B176" s="15" t="s">
        <v>414</v>
      </c>
      <c r="C176" s="15">
        <v>1</v>
      </c>
      <c r="D176" s="26">
        <v>2600</v>
      </c>
      <c r="E176" s="14" t="str">
        <f t="shared" si="15"/>
        <v>VA013</v>
      </c>
      <c r="F176" s="14" t="str">
        <f t="shared" si="16"/>
        <v>Eduardo Silva</v>
      </c>
      <c r="G176" s="14" t="str">
        <f t="shared" si="17"/>
        <v>1001</v>
      </c>
      <c r="H176" s="14" t="str">
        <f t="shared" si="18"/>
        <v>Smart TV 50' 4K - Preto</v>
      </c>
      <c r="I176" s="14" t="str">
        <f t="shared" si="19"/>
        <v>TLV</v>
      </c>
      <c r="J176" s="14" t="str">
        <f t="shared" si="20"/>
        <v>Televisão</v>
      </c>
      <c r="K176" s="14" t="str">
        <f t="shared" si="21"/>
        <v>UD01</v>
      </c>
      <c r="L176" s="14" t="str">
        <f t="shared" si="22"/>
        <v>Rio de Janeiro</v>
      </c>
    </row>
    <row r="177" spans="1:12" x14ac:dyDescent="0.25">
      <c r="A177" s="15">
        <v>176</v>
      </c>
      <c r="B177" s="15" t="s">
        <v>415</v>
      </c>
      <c r="C177" s="15">
        <v>1</v>
      </c>
      <c r="D177" s="26">
        <v>2000</v>
      </c>
      <c r="E177" s="14" t="str">
        <f t="shared" si="15"/>
        <v>VA009</v>
      </c>
      <c r="F177" s="14" t="str">
        <f t="shared" si="16"/>
        <v>Chan Santos</v>
      </c>
      <c r="G177" s="14" t="str">
        <f t="shared" si="17"/>
        <v>1008</v>
      </c>
      <c r="H177" s="14" t="str">
        <f t="shared" si="18"/>
        <v>Smart TV LED Full HD 55' - Preto</v>
      </c>
      <c r="I177" s="14" t="str">
        <f t="shared" si="19"/>
        <v>TLV</v>
      </c>
      <c r="J177" s="14" t="str">
        <f t="shared" si="20"/>
        <v>Televisão</v>
      </c>
      <c r="K177" s="14" t="str">
        <f t="shared" si="21"/>
        <v>UD02</v>
      </c>
      <c r="L177" s="14" t="str">
        <f t="shared" si="22"/>
        <v>Belo Horizonte</v>
      </c>
    </row>
    <row r="178" spans="1:12" x14ac:dyDescent="0.25">
      <c r="A178" s="15">
        <v>177</v>
      </c>
      <c r="B178" s="15" t="s">
        <v>416</v>
      </c>
      <c r="C178" s="15">
        <v>1</v>
      </c>
      <c r="D178" s="26">
        <v>4500</v>
      </c>
      <c r="E178" s="14" t="str">
        <f t="shared" si="15"/>
        <v>VA045</v>
      </c>
      <c r="F178" s="14" t="str">
        <f t="shared" si="16"/>
        <v>Jéssica Resinente</v>
      </c>
      <c r="G178" s="14" t="str">
        <f t="shared" si="17"/>
        <v>1003</v>
      </c>
      <c r="H178" s="14" t="str">
        <f t="shared" si="18"/>
        <v>Galaxy S10 - Cinza</v>
      </c>
      <c r="I178" s="14" t="str">
        <f t="shared" si="19"/>
        <v>CLR</v>
      </c>
      <c r="J178" s="14" t="str">
        <f t="shared" si="20"/>
        <v>Celular</v>
      </c>
      <c r="K178" s="14" t="str">
        <f t="shared" si="21"/>
        <v>UD13</v>
      </c>
      <c r="L178" s="14" t="str">
        <f t="shared" si="22"/>
        <v>Campinas</v>
      </c>
    </row>
    <row r="179" spans="1:12" x14ac:dyDescent="0.25">
      <c r="A179" s="15">
        <v>178</v>
      </c>
      <c r="B179" s="15" t="s">
        <v>417</v>
      </c>
      <c r="C179" s="15">
        <v>1</v>
      </c>
      <c r="D179" s="26">
        <v>1750</v>
      </c>
      <c r="E179" s="14" t="str">
        <f t="shared" si="15"/>
        <v>VA035</v>
      </c>
      <c r="F179" s="14" t="str">
        <f t="shared" si="16"/>
        <v>Larissa Florim</v>
      </c>
      <c r="G179" s="14" t="str">
        <f t="shared" si="17"/>
        <v>1004</v>
      </c>
      <c r="H179" s="14" t="str">
        <f t="shared" si="18"/>
        <v>Apple Watch - Preto</v>
      </c>
      <c r="I179" s="14" t="str">
        <f t="shared" si="19"/>
        <v>SMW</v>
      </c>
      <c r="J179" s="14" t="str">
        <f t="shared" si="20"/>
        <v>Smart Watch</v>
      </c>
      <c r="K179" s="14" t="str">
        <f t="shared" si="21"/>
        <v>UD06</v>
      </c>
      <c r="L179" s="14" t="str">
        <f t="shared" si="22"/>
        <v>Recife</v>
      </c>
    </row>
    <row r="180" spans="1:12" x14ac:dyDescent="0.25">
      <c r="A180" s="15">
        <v>179</v>
      </c>
      <c r="B180" s="15" t="s">
        <v>418</v>
      </c>
      <c r="C180" s="15">
        <v>1</v>
      </c>
      <c r="D180" s="26">
        <v>3000</v>
      </c>
      <c r="E180" s="14" t="str">
        <f t="shared" si="15"/>
        <v>VA035</v>
      </c>
      <c r="F180" s="14" t="str">
        <f t="shared" si="16"/>
        <v>Larissa Florim</v>
      </c>
      <c r="G180" s="14" t="str">
        <f t="shared" si="17"/>
        <v>1021</v>
      </c>
      <c r="H180" s="14" t="str">
        <f t="shared" si="18"/>
        <v>Galaxy S8 - Verde</v>
      </c>
      <c r="I180" s="14" t="str">
        <f t="shared" si="19"/>
        <v>CLR</v>
      </c>
      <c r="J180" s="14" t="str">
        <f t="shared" si="20"/>
        <v>Celular</v>
      </c>
      <c r="K180" s="14" t="str">
        <f t="shared" si="21"/>
        <v>UD05</v>
      </c>
      <c r="L180" s="14" t="str">
        <f t="shared" si="22"/>
        <v>Fortaleza</v>
      </c>
    </row>
    <row r="181" spans="1:12" x14ac:dyDescent="0.25">
      <c r="A181" s="15">
        <v>180</v>
      </c>
      <c r="B181" s="15" t="s">
        <v>419</v>
      </c>
      <c r="C181" s="15">
        <v>4</v>
      </c>
      <c r="D181" s="26">
        <v>5800</v>
      </c>
      <c r="E181" s="14" t="str">
        <f t="shared" si="15"/>
        <v>VA017</v>
      </c>
      <c r="F181" s="14" t="str">
        <f t="shared" si="16"/>
        <v>Julia Penteado</v>
      </c>
      <c r="G181" s="14" t="str">
        <f t="shared" si="17"/>
        <v>1016</v>
      </c>
      <c r="H181" s="14" t="str">
        <f t="shared" si="18"/>
        <v>Smart Watch Galaxy - Azul</v>
      </c>
      <c r="I181" s="14" t="str">
        <f t="shared" si="19"/>
        <v>SMW</v>
      </c>
      <c r="J181" s="14" t="str">
        <f t="shared" si="20"/>
        <v>Smart Watch</v>
      </c>
      <c r="K181" s="14" t="str">
        <f t="shared" si="21"/>
        <v>UD08</v>
      </c>
      <c r="L181" s="14" t="str">
        <f t="shared" si="22"/>
        <v>Nova Iguaçu</v>
      </c>
    </row>
    <row r="182" spans="1:12" x14ac:dyDescent="0.25">
      <c r="A182" s="15">
        <v>181</v>
      </c>
      <c r="B182" s="15" t="s">
        <v>420</v>
      </c>
      <c r="C182" s="15">
        <v>1</v>
      </c>
      <c r="D182" s="26">
        <v>700</v>
      </c>
      <c r="E182" s="14" t="str">
        <f t="shared" si="15"/>
        <v>VA004</v>
      </c>
      <c r="F182" s="14" t="str">
        <f t="shared" si="16"/>
        <v>Silvio Fahrnholz</v>
      </c>
      <c r="G182" s="14" t="str">
        <f t="shared" si="17"/>
        <v>1015</v>
      </c>
      <c r="H182" s="14" t="str">
        <f t="shared" si="18"/>
        <v>Câmera Digital Sony Cyber - Azul</v>
      </c>
      <c r="I182" s="14" t="str">
        <f t="shared" si="19"/>
        <v>CAM</v>
      </c>
      <c r="J182" s="14" t="str">
        <f t="shared" si="20"/>
        <v>Câmera</v>
      </c>
      <c r="K182" s="14" t="str">
        <f t="shared" si="21"/>
        <v>UD01</v>
      </c>
      <c r="L182" s="14" t="str">
        <f t="shared" si="22"/>
        <v>Rio de Janeiro</v>
      </c>
    </row>
    <row r="183" spans="1:12" x14ac:dyDescent="0.25">
      <c r="A183" s="15">
        <v>182</v>
      </c>
      <c r="B183" s="15" t="s">
        <v>421</v>
      </c>
      <c r="C183" s="15">
        <v>1</v>
      </c>
      <c r="D183" s="26">
        <v>1550</v>
      </c>
      <c r="E183" s="14" t="str">
        <f t="shared" si="15"/>
        <v>VA049</v>
      </c>
      <c r="F183" s="14" t="str">
        <f t="shared" si="16"/>
        <v>Juliana Souza</v>
      </c>
      <c r="G183" s="14" t="str">
        <f t="shared" si="17"/>
        <v>1013</v>
      </c>
      <c r="H183" s="14" t="str">
        <f t="shared" si="18"/>
        <v>Câmera Coolpix L340 - Cinza</v>
      </c>
      <c r="I183" s="14" t="str">
        <f t="shared" si="19"/>
        <v>CAM</v>
      </c>
      <c r="J183" s="14" t="str">
        <f t="shared" si="20"/>
        <v>Câmera</v>
      </c>
      <c r="K183" s="14" t="str">
        <f t="shared" si="21"/>
        <v>UD08</v>
      </c>
      <c r="L183" s="14" t="str">
        <f t="shared" si="22"/>
        <v>Nova Iguaçu</v>
      </c>
    </row>
    <row r="184" spans="1:12" x14ac:dyDescent="0.25">
      <c r="A184" s="15">
        <v>183</v>
      </c>
      <c r="B184" s="15" t="s">
        <v>422</v>
      </c>
      <c r="C184" s="15">
        <v>1</v>
      </c>
      <c r="D184" s="26">
        <v>5200</v>
      </c>
      <c r="E184" s="14" t="str">
        <f t="shared" si="15"/>
        <v>VA020</v>
      </c>
      <c r="F184" s="14" t="str">
        <f t="shared" si="16"/>
        <v>Thays Castro</v>
      </c>
      <c r="G184" s="14" t="str">
        <f t="shared" si="17"/>
        <v>1017</v>
      </c>
      <c r="H184" s="14" t="str">
        <f t="shared" si="18"/>
        <v>Smart TV 75' 4K - Preto</v>
      </c>
      <c r="I184" s="14" t="str">
        <f t="shared" si="19"/>
        <v>TLV</v>
      </c>
      <c r="J184" s="14" t="str">
        <f t="shared" si="20"/>
        <v>Televisão</v>
      </c>
      <c r="K184" s="14" t="str">
        <f t="shared" si="21"/>
        <v>UD09</v>
      </c>
      <c r="L184" s="14" t="str">
        <f t="shared" si="22"/>
        <v>São Paulo</v>
      </c>
    </row>
    <row r="185" spans="1:12" x14ac:dyDescent="0.25">
      <c r="A185" s="15">
        <v>184</v>
      </c>
      <c r="B185" s="15" t="s">
        <v>423</v>
      </c>
      <c r="C185" s="15">
        <v>1</v>
      </c>
      <c r="D185" s="26">
        <v>1500</v>
      </c>
      <c r="E185" s="14" t="str">
        <f t="shared" si="15"/>
        <v>VA005</v>
      </c>
      <c r="F185" s="14" t="str">
        <f t="shared" si="16"/>
        <v>Luiza Cabral</v>
      </c>
      <c r="G185" s="14" t="str">
        <f t="shared" si="17"/>
        <v>1005</v>
      </c>
      <c r="H185" s="14" t="str">
        <f t="shared" si="18"/>
        <v>Câmera Digital Rebel T6 - Preto</v>
      </c>
      <c r="I185" s="14" t="str">
        <f t="shared" si="19"/>
        <v>CAM</v>
      </c>
      <c r="J185" s="14" t="str">
        <f t="shared" si="20"/>
        <v>Câmera</v>
      </c>
      <c r="K185" s="14" t="str">
        <f t="shared" si="21"/>
        <v>UD08</v>
      </c>
      <c r="L185" s="14" t="str">
        <f t="shared" si="22"/>
        <v>Nova Iguaçu</v>
      </c>
    </row>
    <row r="186" spans="1:12" x14ac:dyDescent="0.25">
      <c r="A186" s="15">
        <v>185</v>
      </c>
      <c r="B186" s="15" t="s">
        <v>424</v>
      </c>
      <c r="C186" s="15">
        <v>1</v>
      </c>
      <c r="D186" s="26">
        <v>2500</v>
      </c>
      <c r="E186" s="14" t="str">
        <f t="shared" si="15"/>
        <v>VA008</v>
      </c>
      <c r="F186" s="14" t="str">
        <f t="shared" si="16"/>
        <v>Leonardo Ferreira</v>
      </c>
      <c r="G186" s="14" t="str">
        <f t="shared" si="17"/>
        <v>1002</v>
      </c>
      <c r="H186" s="14" t="str">
        <f t="shared" si="18"/>
        <v>iPhone 7 - Dourado</v>
      </c>
      <c r="I186" s="14" t="str">
        <f t="shared" si="19"/>
        <v>CLR</v>
      </c>
      <c r="J186" s="14" t="str">
        <f t="shared" si="20"/>
        <v>Celular</v>
      </c>
      <c r="K186" s="14" t="str">
        <f t="shared" si="21"/>
        <v>UD07</v>
      </c>
      <c r="L186" s="14" t="str">
        <f t="shared" si="22"/>
        <v>Porto Alegre</v>
      </c>
    </row>
    <row r="187" spans="1:12" x14ac:dyDescent="0.25">
      <c r="A187" s="15">
        <v>186</v>
      </c>
      <c r="B187" s="15" t="s">
        <v>425</v>
      </c>
      <c r="C187" s="15">
        <v>1</v>
      </c>
      <c r="D187" s="26">
        <v>1550</v>
      </c>
      <c r="E187" s="14" t="str">
        <f t="shared" si="15"/>
        <v>VA022</v>
      </c>
      <c r="F187" s="14" t="str">
        <f t="shared" si="16"/>
        <v>Mariana Baptista</v>
      </c>
      <c r="G187" s="14" t="str">
        <f t="shared" si="17"/>
        <v>1013</v>
      </c>
      <c r="H187" s="14" t="str">
        <f t="shared" si="18"/>
        <v>Câmera Coolpix L340 - Cinza</v>
      </c>
      <c r="I187" s="14" t="str">
        <f t="shared" si="19"/>
        <v>CAM</v>
      </c>
      <c r="J187" s="14" t="str">
        <f t="shared" si="20"/>
        <v>Câmera</v>
      </c>
      <c r="K187" s="14" t="str">
        <f t="shared" si="21"/>
        <v>UD03</v>
      </c>
      <c r="L187" s="14" t="str">
        <f t="shared" si="22"/>
        <v>Salvador</v>
      </c>
    </row>
    <row r="188" spans="1:12" x14ac:dyDescent="0.25">
      <c r="A188" s="15">
        <v>187</v>
      </c>
      <c r="B188" s="15" t="s">
        <v>426</v>
      </c>
      <c r="C188" s="15">
        <v>1</v>
      </c>
      <c r="D188" s="26">
        <v>5200</v>
      </c>
      <c r="E188" s="14" t="str">
        <f t="shared" si="15"/>
        <v>VA035</v>
      </c>
      <c r="F188" s="14" t="str">
        <f t="shared" si="16"/>
        <v>Larissa Florim</v>
      </c>
      <c r="G188" s="14" t="str">
        <f t="shared" si="17"/>
        <v>1017</v>
      </c>
      <c r="H188" s="14" t="str">
        <f t="shared" si="18"/>
        <v>Smart TV 75' 4K - Preto</v>
      </c>
      <c r="I188" s="14" t="str">
        <f t="shared" si="19"/>
        <v>TLV</v>
      </c>
      <c r="J188" s="14" t="str">
        <f t="shared" si="20"/>
        <v>Televisão</v>
      </c>
      <c r="K188" s="14" t="str">
        <f t="shared" si="21"/>
        <v>UD07</v>
      </c>
      <c r="L188" s="14" t="str">
        <f t="shared" si="22"/>
        <v>Porto Alegre</v>
      </c>
    </row>
    <row r="189" spans="1:12" x14ac:dyDescent="0.25">
      <c r="A189" s="15">
        <v>188</v>
      </c>
      <c r="B189" s="15" t="s">
        <v>427</v>
      </c>
      <c r="C189" s="15">
        <v>1</v>
      </c>
      <c r="D189" s="26">
        <v>2000</v>
      </c>
      <c r="E189" s="14" t="str">
        <f t="shared" si="15"/>
        <v>VA005</v>
      </c>
      <c r="F189" s="14" t="str">
        <f t="shared" si="16"/>
        <v>Luiza Cabral</v>
      </c>
      <c r="G189" s="14" t="str">
        <f t="shared" si="17"/>
        <v>1011</v>
      </c>
      <c r="H189" s="14" t="str">
        <f t="shared" si="18"/>
        <v>Tablet M10 Android - Preto</v>
      </c>
      <c r="I189" s="14" t="str">
        <f t="shared" si="19"/>
        <v>TBL</v>
      </c>
      <c r="J189" s="14" t="str">
        <f t="shared" si="20"/>
        <v>Tablet</v>
      </c>
      <c r="K189" s="14" t="str">
        <f t="shared" si="21"/>
        <v>UD01</v>
      </c>
      <c r="L189" s="14" t="str">
        <f t="shared" si="22"/>
        <v>Rio de Janeiro</v>
      </c>
    </row>
    <row r="190" spans="1:12" x14ac:dyDescent="0.25">
      <c r="A190" s="15">
        <v>189</v>
      </c>
      <c r="B190" s="15" t="s">
        <v>428</v>
      </c>
      <c r="C190" s="15">
        <v>1</v>
      </c>
      <c r="D190" s="26">
        <v>1400</v>
      </c>
      <c r="E190" s="14" t="str">
        <f t="shared" si="15"/>
        <v>VA048</v>
      </c>
      <c r="F190" s="14" t="str">
        <f t="shared" si="16"/>
        <v>Pedro Jorge</v>
      </c>
      <c r="G190" s="14" t="str">
        <f t="shared" si="17"/>
        <v>1006</v>
      </c>
      <c r="H190" s="14" t="str">
        <f t="shared" si="18"/>
        <v>TV LED 32' - Preto</v>
      </c>
      <c r="I190" s="14" t="str">
        <f t="shared" si="19"/>
        <v>TLV</v>
      </c>
      <c r="J190" s="14" t="str">
        <f t="shared" si="20"/>
        <v>Televisão</v>
      </c>
      <c r="K190" s="14" t="str">
        <f t="shared" si="21"/>
        <v>UD10</v>
      </c>
      <c r="L190" s="14" t="str">
        <f t="shared" si="22"/>
        <v>Niterói</v>
      </c>
    </row>
    <row r="191" spans="1:12" x14ac:dyDescent="0.25">
      <c r="A191" s="15">
        <v>190</v>
      </c>
      <c r="B191" s="15" t="s">
        <v>429</v>
      </c>
      <c r="C191" s="15">
        <v>1</v>
      </c>
      <c r="D191" s="26">
        <v>1100</v>
      </c>
      <c r="E191" s="14" t="str">
        <f t="shared" si="15"/>
        <v>VA001</v>
      </c>
      <c r="F191" s="14" t="str">
        <f t="shared" si="16"/>
        <v>Sthefeson Pereira</v>
      </c>
      <c r="G191" s="14" t="str">
        <f t="shared" si="17"/>
        <v>1014</v>
      </c>
      <c r="H191" s="14" t="str">
        <f t="shared" si="18"/>
        <v>Galaxy J8 - Roxo</v>
      </c>
      <c r="I191" s="14" t="str">
        <f t="shared" si="19"/>
        <v>CLR</v>
      </c>
      <c r="J191" s="14" t="str">
        <f t="shared" si="20"/>
        <v>Celular</v>
      </c>
      <c r="K191" s="14" t="str">
        <f t="shared" si="21"/>
        <v>UD06</v>
      </c>
      <c r="L191" s="14" t="str">
        <f t="shared" si="22"/>
        <v>Recife</v>
      </c>
    </row>
    <row r="192" spans="1:12" x14ac:dyDescent="0.25">
      <c r="A192" s="15">
        <v>191</v>
      </c>
      <c r="B192" s="15" t="s">
        <v>430</v>
      </c>
      <c r="C192" s="15">
        <v>1</v>
      </c>
      <c r="D192" s="26">
        <v>4500</v>
      </c>
      <c r="E192" s="14" t="str">
        <f t="shared" si="15"/>
        <v>VA035</v>
      </c>
      <c r="F192" s="14" t="str">
        <f t="shared" si="16"/>
        <v>Larissa Florim</v>
      </c>
      <c r="G192" s="14" t="str">
        <f t="shared" si="17"/>
        <v>1003</v>
      </c>
      <c r="H192" s="14" t="str">
        <f t="shared" si="18"/>
        <v>Galaxy S10 - Cinza</v>
      </c>
      <c r="I192" s="14" t="str">
        <f t="shared" si="19"/>
        <v>CLR</v>
      </c>
      <c r="J192" s="14" t="str">
        <f t="shared" si="20"/>
        <v>Celular</v>
      </c>
      <c r="K192" s="14" t="str">
        <f t="shared" si="21"/>
        <v>UD06</v>
      </c>
      <c r="L192" s="14" t="str">
        <f t="shared" si="22"/>
        <v>Recife</v>
      </c>
    </row>
    <row r="193" spans="1:12" x14ac:dyDescent="0.25">
      <c r="A193" s="15">
        <v>192</v>
      </c>
      <c r="B193" s="15" t="s">
        <v>431</v>
      </c>
      <c r="C193" s="15">
        <v>1</v>
      </c>
      <c r="D193" s="26">
        <v>3000</v>
      </c>
      <c r="E193" s="14" t="str">
        <f t="shared" si="15"/>
        <v>VA044</v>
      </c>
      <c r="F193" s="14" t="str">
        <f t="shared" si="16"/>
        <v>Juliana Correa</v>
      </c>
      <c r="G193" s="14" t="str">
        <f t="shared" si="17"/>
        <v>1021</v>
      </c>
      <c r="H193" s="14" t="str">
        <f t="shared" si="18"/>
        <v>Galaxy S8 - Verde</v>
      </c>
      <c r="I193" s="14" t="str">
        <f t="shared" si="19"/>
        <v>CLR</v>
      </c>
      <c r="J193" s="14" t="str">
        <f t="shared" si="20"/>
        <v>Celular</v>
      </c>
      <c r="K193" s="14" t="str">
        <f t="shared" si="21"/>
        <v>UD10</v>
      </c>
      <c r="L193" s="14" t="str">
        <f t="shared" si="22"/>
        <v>Niterói</v>
      </c>
    </row>
    <row r="194" spans="1:12" x14ac:dyDescent="0.25">
      <c r="A194" s="15">
        <v>193</v>
      </c>
      <c r="B194" s="15" t="s">
        <v>432</v>
      </c>
      <c r="C194" s="15">
        <v>3</v>
      </c>
      <c r="D194" s="26">
        <v>13500</v>
      </c>
      <c r="E194" s="14" t="str">
        <f t="shared" si="15"/>
        <v>VA018</v>
      </c>
      <c r="F194" s="14" t="str">
        <f t="shared" si="16"/>
        <v>Bernardo Botelho</v>
      </c>
      <c r="G194" s="14" t="str">
        <f t="shared" si="17"/>
        <v>1003</v>
      </c>
      <c r="H194" s="14" t="str">
        <f t="shared" si="18"/>
        <v>Galaxy S10 - Cinza</v>
      </c>
      <c r="I194" s="14" t="str">
        <f t="shared" si="19"/>
        <v>CLR</v>
      </c>
      <c r="J194" s="14" t="str">
        <f t="shared" si="20"/>
        <v>Celular</v>
      </c>
      <c r="K194" s="14" t="str">
        <f t="shared" si="21"/>
        <v>UD02</v>
      </c>
      <c r="L194" s="14" t="str">
        <f t="shared" si="22"/>
        <v>Belo Horizonte</v>
      </c>
    </row>
    <row r="195" spans="1:12" x14ac:dyDescent="0.25">
      <c r="A195" s="15">
        <v>194</v>
      </c>
      <c r="B195" s="15" t="s">
        <v>433</v>
      </c>
      <c r="C195" s="15">
        <v>1</v>
      </c>
      <c r="D195" s="26">
        <v>1750</v>
      </c>
      <c r="E195" s="14" t="str">
        <f t="shared" ref="E195:E250" si="23">LEFT(B195, 5)</f>
        <v>VA041</v>
      </c>
      <c r="F195" s="14" t="str">
        <f t="shared" ref="F195:F250" si="24">VLOOKUP(E195, $N$2:$O$54, 2, 0)</f>
        <v>Raphael Kurtz</v>
      </c>
      <c r="G195" s="14" t="str">
        <f t="shared" ref="G195:G250" si="25">MID(B195, 6, 4)</f>
        <v>1004</v>
      </c>
      <c r="H195" s="14" t="str">
        <f t="shared" ref="H195:H250" si="26">VLOOKUP(G195,  $Q:$U, 2, 0)</f>
        <v>Apple Watch - Preto</v>
      </c>
      <c r="I195" s="14" t="str">
        <f t="shared" ref="I195:I250" si="27">MID(B195, 10, 3)</f>
        <v>SMW</v>
      </c>
      <c r="J195" s="14" t="str">
        <f t="shared" ref="J195:J250" si="28">VLOOKUP(I195, $W:$X, 2, 0)</f>
        <v>Smart Watch</v>
      </c>
      <c r="K195" s="14" t="str">
        <f t="shared" ref="K195:K250" si="29">RIGHT(B195, 4)</f>
        <v>UD11</v>
      </c>
      <c r="L195" s="14" t="str">
        <f t="shared" ref="L195:L250" si="30">VLOOKUP(K195, $Z:$AA, 2, 0)</f>
        <v>Goiânia</v>
      </c>
    </row>
    <row r="196" spans="1:12" x14ac:dyDescent="0.25">
      <c r="A196" s="15">
        <v>195</v>
      </c>
      <c r="B196" s="15" t="s">
        <v>434</v>
      </c>
      <c r="C196" s="15">
        <v>3</v>
      </c>
      <c r="D196" s="26">
        <v>4500</v>
      </c>
      <c r="E196" s="14" t="str">
        <f t="shared" si="23"/>
        <v>VA018</v>
      </c>
      <c r="F196" s="14" t="str">
        <f t="shared" si="24"/>
        <v>Bernardo Botelho</v>
      </c>
      <c r="G196" s="14" t="str">
        <f t="shared" si="25"/>
        <v>1020</v>
      </c>
      <c r="H196" s="14" t="str">
        <f t="shared" si="26"/>
        <v>Moto Z - Vermelho</v>
      </c>
      <c r="I196" s="14" t="str">
        <f t="shared" si="27"/>
        <v>CLR</v>
      </c>
      <c r="J196" s="14" t="str">
        <f t="shared" si="28"/>
        <v>Celular</v>
      </c>
      <c r="K196" s="14" t="str">
        <f t="shared" si="29"/>
        <v>UD13</v>
      </c>
      <c r="L196" s="14" t="str">
        <f t="shared" si="30"/>
        <v>Campinas</v>
      </c>
    </row>
    <row r="197" spans="1:12" x14ac:dyDescent="0.25">
      <c r="A197" s="15">
        <v>196</v>
      </c>
      <c r="B197" s="15" t="s">
        <v>435</v>
      </c>
      <c r="C197" s="15">
        <v>1</v>
      </c>
      <c r="D197" s="26">
        <v>1550</v>
      </c>
      <c r="E197" s="14" t="str">
        <f t="shared" si="23"/>
        <v>VA023</v>
      </c>
      <c r="F197" s="14" t="str">
        <f t="shared" si="24"/>
        <v>Alexandre Rodriguez</v>
      </c>
      <c r="G197" s="14" t="str">
        <f t="shared" si="25"/>
        <v>1013</v>
      </c>
      <c r="H197" s="14" t="str">
        <f t="shared" si="26"/>
        <v>Câmera Coolpix L340 - Cinza</v>
      </c>
      <c r="I197" s="14" t="str">
        <f t="shared" si="27"/>
        <v>CAM</v>
      </c>
      <c r="J197" s="14" t="str">
        <f t="shared" si="28"/>
        <v>Câmera</v>
      </c>
      <c r="K197" s="14" t="str">
        <f t="shared" si="29"/>
        <v>UD08</v>
      </c>
      <c r="L197" s="14" t="str">
        <f t="shared" si="30"/>
        <v>Nova Iguaçu</v>
      </c>
    </row>
    <row r="198" spans="1:12" x14ac:dyDescent="0.25">
      <c r="A198" s="15">
        <v>197</v>
      </c>
      <c r="B198" s="15" t="s">
        <v>436</v>
      </c>
      <c r="C198" s="15">
        <v>1</v>
      </c>
      <c r="D198" s="26">
        <v>2000</v>
      </c>
      <c r="E198" s="14" t="str">
        <f t="shared" si="23"/>
        <v>VA020</v>
      </c>
      <c r="F198" s="14" t="str">
        <f t="shared" si="24"/>
        <v>Thays Castro</v>
      </c>
      <c r="G198" s="14" t="str">
        <f t="shared" si="25"/>
        <v>1008</v>
      </c>
      <c r="H198" s="14" t="str">
        <f t="shared" si="26"/>
        <v>Smart TV LED Full HD 55' - Preto</v>
      </c>
      <c r="I198" s="14" t="str">
        <f t="shared" si="27"/>
        <v>TLV</v>
      </c>
      <c r="J198" s="14" t="str">
        <f t="shared" si="28"/>
        <v>Televisão</v>
      </c>
      <c r="K198" s="14" t="str">
        <f t="shared" si="29"/>
        <v>UD10</v>
      </c>
      <c r="L198" s="14" t="str">
        <f t="shared" si="30"/>
        <v>Niterói</v>
      </c>
    </row>
    <row r="199" spans="1:12" x14ac:dyDescent="0.25">
      <c r="A199" s="15">
        <v>198</v>
      </c>
      <c r="B199" s="15" t="s">
        <v>437</v>
      </c>
      <c r="C199" s="15">
        <v>2</v>
      </c>
      <c r="D199" s="26">
        <v>6000</v>
      </c>
      <c r="E199" s="14" t="str">
        <f t="shared" si="23"/>
        <v>VA004</v>
      </c>
      <c r="F199" s="14" t="str">
        <f t="shared" si="24"/>
        <v>Silvio Fahrnholz</v>
      </c>
      <c r="G199" s="14" t="str">
        <f t="shared" si="25"/>
        <v>1021</v>
      </c>
      <c r="H199" s="14" t="str">
        <f t="shared" si="26"/>
        <v>Galaxy S8 - Verde</v>
      </c>
      <c r="I199" s="14" t="str">
        <f t="shared" si="27"/>
        <v>CLR</v>
      </c>
      <c r="J199" s="14" t="str">
        <f t="shared" si="28"/>
        <v>Celular</v>
      </c>
      <c r="K199" s="14" t="str">
        <f t="shared" si="29"/>
        <v>UD08</v>
      </c>
      <c r="L199" s="14" t="str">
        <f t="shared" si="30"/>
        <v>Nova Iguaçu</v>
      </c>
    </row>
    <row r="200" spans="1:12" x14ac:dyDescent="0.25">
      <c r="A200" s="15">
        <v>199</v>
      </c>
      <c r="B200" s="15" t="s">
        <v>438</v>
      </c>
      <c r="C200" s="15">
        <v>3</v>
      </c>
      <c r="D200" s="26">
        <v>3600</v>
      </c>
      <c r="E200" s="14" t="str">
        <f t="shared" si="23"/>
        <v>VA025</v>
      </c>
      <c r="F200" s="14" t="str">
        <f t="shared" si="24"/>
        <v>Manuela Merege</v>
      </c>
      <c r="G200" s="14" t="str">
        <f t="shared" si="25"/>
        <v>1018</v>
      </c>
      <c r="H200" s="14" t="str">
        <f t="shared" si="26"/>
        <v>Smart Watch MI - Amarelo</v>
      </c>
      <c r="I200" s="14" t="str">
        <f t="shared" si="27"/>
        <v>SMW</v>
      </c>
      <c r="J200" s="14" t="str">
        <f t="shared" si="28"/>
        <v>Smart Watch</v>
      </c>
      <c r="K200" s="14" t="str">
        <f t="shared" si="29"/>
        <v>UD13</v>
      </c>
      <c r="L200" s="14" t="str">
        <f t="shared" si="30"/>
        <v>Campinas</v>
      </c>
    </row>
    <row r="201" spans="1:12" x14ac:dyDescent="0.25">
      <c r="A201" s="15">
        <v>200</v>
      </c>
      <c r="B201" s="15" t="s">
        <v>439</v>
      </c>
      <c r="C201" s="15">
        <v>1</v>
      </c>
      <c r="D201" s="26">
        <v>1200</v>
      </c>
      <c r="E201" s="14" t="str">
        <f t="shared" si="23"/>
        <v>VA002</v>
      </c>
      <c r="F201" s="14" t="str">
        <f t="shared" si="24"/>
        <v>Antonio Manhães</v>
      </c>
      <c r="G201" s="14" t="str">
        <f t="shared" si="25"/>
        <v>1018</v>
      </c>
      <c r="H201" s="14" t="str">
        <f t="shared" si="26"/>
        <v>Smart Watch MI - Amarelo</v>
      </c>
      <c r="I201" s="14" t="str">
        <f t="shared" si="27"/>
        <v>SMW</v>
      </c>
      <c r="J201" s="14" t="str">
        <f t="shared" si="28"/>
        <v>Smart Watch</v>
      </c>
      <c r="K201" s="14" t="str">
        <f t="shared" si="29"/>
        <v>UD04</v>
      </c>
      <c r="L201" s="14" t="str">
        <f t="shared" si="30"/>
        <v>Curitiba</v>
      </c>
    </row>
    <row r="202" spans="1:12" x14ac:dyDescent="0.25">
      <c r="A202" s="15">
        <v>201</v>
      </c>
      <c r="B202" s="15" t="s">
        <v>440</v>
      </c>
      <c r="C202" s="15">
        <v>5</v>
      </c>
      <c r="D202" s="26">
        <v>22500</v>
      </c>
      <c r="E202" s="14" t="str">
        <f t="shared" si="23"/>
        <v>VA049</v>
      </c>
      <c r="F202" s="14" t="str">
        <f t="shared" si="24"/>
        <v>Juliana Souza</v>
      </c>
      <c r="G202" s="14" t="str">
        <f t="shared" si="25"/>
        <v>1003</v>
      </c>
      <c r="H202" s="14" t="str">
        <f t="shared" si="26"/>
        <v>Galaxy S10 - Cinza</v>
      </c>
      <c r="I202" s="14" t="str">
        <f t="shared" si="27"/>
        <v>CLR</v>
      </c>
      <c r="J202" s="14" t="str">
        <f t="shared" si="28"/>
        <v>Celular</v>
      </c>
      <c r="K202" s="14" t="str">
        <f t="shared" si="29"/>
        <v>UD06</v>
      </c>
      <c r="L202" s="14" t="str">
        <f t="shared" si="30"/>
        <v>Recife</v>
      </c>
    </row>
    <row r="203" spans="1:12" x14ac:dyDescent="0.25">
      <c r="A203" s="15">
        <v>202</v>
      </c>
      <c r="B203" s="15" t="s">
        <v>441</v>
      </c>
      <c r="C203" s="15">
        <v>1</v>
      </c>
      <c r="D203" s="26">
        <v>6500</v>
      </c>
      <c r="E203" s="14" t="str">
        <f t="shared" si="23"/>
        <v>VA002</v>
      </c>
      <c r="F203" s="14" t="str">
        <f t="shared" si="24"/>
        <v>Antonio Manhães</v>
      </c>
      <c r="G203" s="14" t="str">
        <f t="shared" si="25"/>
        <v>1019</v>
      </c>
      <c r="H203" s="14" t="str">
        <f t="shared" si="26"/>
        <v>iPhone XS - Preto</v>
      </c>
      <c r="I203" s="14" t="str">
        <f t="shared" si="27"/>
        <v>CLR</v>
      </c>
      <c r="J203" s="14" t="str">
        <f t="shared" si="28"/>
        <v>Celular</v>
      </c>
      <c r="K203" s="14" t="str">
        <f t="shared" si="29"/>
        <v>UD06</v>
      </c>
      <c r="L203" s="14" t="str">
        <f t="shared" si="30"/>
        <v>Recife</v>
      </c>
    </row>
    <row r="204" spans="1:12" x14ac:dyDescent="0.25">
      <c r="A204" s="15">
        <v>203</v>
      </c>
      <c r="B204" s="15" t="s">
        <v>264</v>
      </c>
      <c r="C204" s="15">
        <v>2</v>
      </c>
      <c r="D204" s="26">
        <v>11000</v>
      </c>
      <c r="E204" s="14" t="str">
        <f t="shared" si="23"/>
        <v>VA014</v>
      </c>
      <c r="F204" s="14" t="str">
        <f t="shared" si="24"/>
        <v>João Aires</v>
      </c>
      <c r="G204" s="14" t="str">
        <f t="shared" si="25"/>
        <v>1012</v>
      </c>
      <c r="H204" s="14" t="str">
        <f t="shared" si="26"/>
        <v>Dell G7 - Vermelho</v>
      </c>
      <c r="I204" s="14" t="str">
        <f t="shared" si="27"/>
        <v>NTB</v>
      </c>
      <c r="J204" s="14" t="str">
        <f t="shared" si="28"/>
        <v>Notebook</v>
      </c>
      <c r="K204" s="14" t="str">
        <f t="shared" si="29"/>
        <v>UD05</v>
      </c>
      <c r="L204" s="14" t="str">
        <f t="shared" si="30"/>
        <v>Fortaleza</v>
      </c>
    </row>
    <row r="205" spans="1:12" x14ac:dyDescent="0.25">
      <c r="A205" s="15">
        <v>204</v>
      </c>
      <c r="B205" s="15" t="s">
        <v>442</v>
      </c>
      <c r="C205" s="15">
        <v>1</v>
      </c>
      <c r="D205" s="26">
        <v>2400</v>
      </c>
      <c r="E205" s="14" t="str">
        <f t="shared" si="23"/>
        <v>VA045</v>
      </c>
      <c r="F205" s="14" t="str">
        <f t="shared" si="24"/>
        <v>Jéssica Resinente</v>
      </c>
      <c r="G205" s="14" t="str">
        <f t="shared" si="25"/>
        <v>1024</v>
      </c>
      <c r="H205" s="14" t="str">
        <f t="shared" si="26"/>
        <v>Aspire 5 - Cinza</v>
      </c>
      <c r="I205" s="14" t="str">
        <f t="shared" si="27"/>
        <v>NTB</v>
      </c>
      <c r="J205" s="14" t="str">
        <f t="shared" si="28"/>
        <v>Notebook</v>
      </c>
      <c r="K205" s="14" t="str">
        <f t="shared" si="29"/>
        <v>UD04</v>
      </c>
      <c r="L205" s="14" t="str">
        <f t="shared" si="30"/>
        <v>Curitiba</v>
      </c>
    </row>
    <row r="206" spans="1:12" x14ac:dyDescent="0.25">
      <c r="A206" s="15">
        <v>205</v>
      </c>
      <c r="B206" s="15" t="s">
        <v>443</v>
      </c>
      <c r="C206" s="15">
        <v>1</v>
      </c>
      <c r="D206" s="26">
        <v>6500</v>
      </c>
      <c r="E206" s="14" t="str">
        <f t="shared" si="23"/>
        <v>VA050</v>
      </c>
      <c r="F206" s="14" t="str">
        <f t="shared" si="24"/>
        <v>Tayla Lima</v>
      </c>
      <c r="G206" s="14" t="str">
        <f t="shared" si="25"/>
        <v>1019</v>
      </c>
      <c r="H206" s="14" t="str">
        <f t="shared" si="26"/>
        <v>iPhone XS - Preto</v>
      </c>
      <c r="I206" s="14" t="str">
        <f t="shared" si="27"/>
        <v>CLR</v>
      </c>
      <c r="J206" s="14" t="str">
        <f t="shared" si="28"/>
        <v>Celular</v>
      </c>
      <c r="K206" s="14" t="str">
        <f t="shared" si="29"/>
        <v>UD11</v>
      </c>
      <c r="L206" s="14" t="str">
        <f t="shared" si="30"/>
        <v>Goiânia</v>
      </c>
    </row>
    <row r="207" spans="1:12" x14ac:dyDescent="0.25">
      <c r="A207" s="15">
        <v>206</v>
      </c>
      <c r="B207" s="15" t="s">
        <v>444</v>
      </c>
      <c r="C207" s="15">
        <v>3</v>
      </c>
      <c r="D207" s="26">
        <v>3600</v>
      </c>
      <c r="E207" s="14" t="str">
        <f t="shared" si="23"/>
        <v>VA027</v>
      </c>
      <c r="F207" s="14" t="str">
        <f t="shared" si="24"/>
        <v>Caio Vianna</v>
      </c>
      <c r="G207" s="14" t="str">
        <f t="shared" si="25"/>
        <v>1018</v>
      </c>
      <c r="H207" s="14" t="str">
        <f t="shared" si="26"/>
        <v>Smart Watch MI - Amarelo</v>
      </c>
      <c r="I207" s="14" t="str">
        <f t="shared" si="27"/>
        <v>SMW</v>
      </c>
      <c r="J207" s="14" t="str">
        <f t="shared" si="28"/>
        <v>Smart Watch</v>
      </c>
      <c r="K207" s="14" t="str">
        <f t="shared" si="29"/>
        <v>UD09</v>
      </c>
      <c r="L207" s="14" t="str">
        <f t="shared" si="30"/>
        <v>São Paulo</v>
      </c>
    </row>
    <row r="208" spans="1:12" x14ac:dyDescent="0.25">
      <c r="A208" s="15">
        <v>207</v>
      </c>
      <c r="B208" s="15" t="s">
        <v>445</v>
      </c>
      <c r="C208" s="15">
        <v>1</v>
      </c>
      <c r="D208" s="26">
        <v>1100</v>
      </c>
      <c r="E208" s="14" t="str">
        <f t="shared" si="23"/>
        <v>VA013</v>
      </c>
      <c r="F208" s="14" t="str">
        <f t="shared" si="24"/>
        <v>Eduardo Silva</v>
      </c>
      <c r="G208" s="14" t="str">
        <f t="shared" si="25"/>
        <v>1014</v>
      </c>
      <c r="H208" s="14" t="str">
        <f t="shared" si="26"/>
        <v>Galaxy J8 - Roxo</v>
      </c>
      <c r="I208" s="14" t="str">
        <f t="shared" si="27"/>
        <v>CLR</v>
      </c>
      <c r="J208" s="14" t="str">
        <f t="shared" si="28"/>
        <v>Celular</v>
      </c>
      <c r="K208" s="14" t="str">
        <f t="shared" si="29"/>
        <v>UD04</v>
      </c>
      <c r="L208" s="14" t="str">
        <f t="shared" si="30"/>
        <v>Curitiba</v>
      </c>
    </row>
    <row r="209" spans="1:12" x14ac:dyDescent="0.25">
      <c r="A209" s="15">
        <v>208</v>
      </c>
      <c r="B209" s="15" t="s">
        <v>446</v>
      </c>
      <c r="C209" s="15">
        <v>1</v>
      </c>
      <c r="D209" s="26">
        <v>2500</v>
      </c>
      <c r="E209" s="14" t="str">
        <f t="shared" si="23"/>
        <v>VA039</v>
      </c>
      <c r="F209" s="14" t="str">
        <f t="shared" si="24"/>
        <v>Diogo Peixoto</v>
      </c>
      <c r="G209" s="14" t="str">
        <f t="shared" si="25"/>
        <v>1002</v>
      </c>
      <c r="H209" s="14" t="str">
        <f t="shared" si="26"/>
        <v>iPhone 7 - Dourado</v>
      </c>
      <c r="I209" s="14" t="str">
        <f t="shared" si="27"/>
        <v>CLR</v>
      </c>
      <c r="J209" s="14" t="str">
        <f t="shared" si="28"/>
        <v>Celular</v>
      </c>
      <c r="K209" s="14" t="str">
        <f t="shared" si="29"/>
        <v>UD12</v>
      </c>
      <c r="L209" s="14" t="str">
        <f t="shared" si="30"/>
        <v>Guarulhos</v>
      </c>
    </row>
    <row r="210" spans="1:12" x14ac:dyDescent="0.25">
      <c r="A210" s="15">
        <v>209</v>
      </c>
      <c r="B210" s="15" t="s">
        <v>447</v>
      </c>
      <c r="C210" s="15">
        <v>1</v>
      </c>
      <c r="D210" s="26">
        <v>2500</v>
      </c>
      <c r="E210" s="14" t="str">
        <f t="shared" si="23"/>
        <v>VA009</v>
      </c>
      <c r="F210" s="14" t="str">
        <f t="shared" si="24"/>
        <v>Chan Santos</v>
      </c>
      <c r="G210" s="14" t="str">
        <f t="shared" si="25"/>
        <v>1002</v>
      </c>
      <c r="H210" s="14" t="str">
        <f t="shared" si="26"/>
        <v>iPhone 7 - Dourado</v>
      </c>
      <c r="I210" s="14" t="str">
        <f t="shared" si="27"/>
        <v>CLR</v>
      </c>
      <c r="J210" s="14" t="str">
        <f t="shared" si="28"/>
        <v>Celular</v>
      </c>
      <c r="K210" s="14" t="str">
        <f t="shared" si="29"/>
        <v>UD02</v>
      </c>
      <c r="L210" s="14" t="str">
        <f t="shared" si="30"/>
        <v>Belo Horizonte</v>
      </c>
    </row>
    <row r="211" spans="1:12" x14ac:dyDescent="0.25">
      <c r="A211" s="15">
        <v>210</v>
      </c>
      <c r="B211" s="15" t="s">
        <v>448</v>
      </c>
      <c r="C211" s="15">
        <v>1</v>
      </c>
      <c r="D211" s="26">
        <v>6500</v>
      </c>
      <c r="E211" s="14" t="str">
        <f t="shared" si="23"/>
        <v>VA031</v>
      </c>
      <c r="F211" s="14" t="str">
        <f t="shared" si="24"/>
        <v>Giuseppe Bhering</v>
      </c>
      <c r="G211" s="14" t="str">
        <f t="shared" si="25"/>
        <v>1019</v>
      </c>
      <c r="H211" s="14" t="str">
        <f t="shared" si="26"/>
        <v>iPhone XS - Preto</v>
      </c>
      <c r="I211" s="14" t="str">
        <f t="shared" si="27"/>
        <v>CLR</v>
      </c>
      <c r="J211" s="14" t="str">
        <f t="shared" si="28"/>
        <v>Celular</v>
      </c>
      <c r="K211" s="14" t="str">
        <f t="shared" si="29"/>
        <v>UD08</v>
      </c>
      <c r="L211" s="14" t="str">
        <f t="shared" si="30"/>
        <v>Nova Iguaçu</v>
      </c>
    </row>
    <row r="212" spans="1:12" x14ac:dyDescent="0.25">
      <c r="A212" s="15">
        <v>211</v>
      </c>
      <c r="B212" s="15" t="s">
        <v>449</v>
      </c>
      <c r="C212" s="15">
        <v>1</v>
      </c>
      <c r="D212" s="26">
        <v>2000</v>
      </c>
      <c r="E212" s="14" t="str">
        <f t="shared" si="23"/>
        <v>VA013</v>
      </c>
      <c r="F212" s="14" t="str">
        <f t="shared" si="24"/>
        <v>Eduardo Silva</v>
      </c>
      <c r="G212" s="14" t="str">
        <f t="shared" si="25"/>
        <v>1011</v>
      </c>
      <c r="H212" s="14" t="str">
        <f t="shared" si="26"/>
        <v>Tablet M10 Android - Preto</v>
      </c>
      <c r="I212" s="14" t="str">
        <f t="shared" si="27"/>
        <v>TBL</v>
      </c>
      <c r="J212" s="14" t="str">
        <f t="shared" si="28"/>
        <v>Tablet</v>
      </c>
      <c r="K212" s="14" t="str">
        <f t="shared" si="29"/>
        <v>UD03</v>
      </c>
      <c r="L212" s="14" t="str">
        <f t="shared" si="30"/>
        <v>Salvador</v>
      </c>
    </row>
    <row r="213" spans="1:12" x14ac:dyDescent="0.25">
      <c r="A213" s="15">
        <v>212</v>
      </c>
      <c r="B213" s="15" t="s">
        <v>450</v>
      </c>
      <c r="C213" s="15">
        <v>5</v>
      </c>
      <c r="D213" s="26">
        <v>32500</v>
      </c>
      <c r="E213" s="14" t="str">
        <f t="shared" si="23"/>
        <v>VA029</v>
      </c>
      <c r="F213" s="14" t="str">
        <f t="shared" si="24"/>
        <v>Rodrigo Bruno</v>
      </c>
      <c r="G213" s="14" t="str">
        <f t="shared" si="25"/>
        <v>1019</v>
      </c>
      <c r="H213" s="14" t="str">
        <f t="shared" si="26"/>
        <v>iPhone XS - Preto</v>
      </c>
      <c r="I213" s="14" t="str">
        <f t="shared" si="27"/>
        <v>CLR</v>
      </c>
      <c r="J213" s="14" t="str">
        <f t="shared" si="28"/>
        <v>Celular</v>
      </c>
      <c r="K213" s="14" t="str">
        <f t="shared" si="29"/>
        <v>UD09</v>
      </c>
      <c r="L213" s="14" t="str">
        <f t="shared" si="30"/>
        <v>São Paulo</v>
      </c>
    </row>
    <row r="214" spans="1:12" x14ac:dyDescent="0.25">
      <c r="A214" s="15">
        <v>213</v>
      </c>
      <c r="B214" s="15" t="s">
        <v>451</v>
      </c>
      <c r="C214" s="15">
        <v>3</v>
      </c>
      <c r="D214" s="26">
        <v>19500</v>
      </c>
      <c r="E214" s="14" t="str">
        <f t="shared" si="23"/>
        <v>VA009</v>
      </c>
      <c r="F214" s="14" t="str">
        <f t="shared" si="24"/>
        <v>Chan Santos</v>
      </c>
      <c r="G214" s="14" t="str">
        <f t="shared" si="25"/>
        <v>1019</v>
      </c>
      <c r="H214" s="14" t="str">
        <f t="shared" si="26"/>
        <v>iPhone XS - Preto</v>
      </c>
      <c r="I214" s="14" t="str">
        <f t="shared" si="27"/>
        <v>CLR</v>
      </c>
      <c r="J214" s="14" t="str">
        <f t="shared" si="28"/>
        <v>Celular</v>
      </c>
      <c r="K214" s="14" t="str">
        <f t="shared" si="29"/>
        <v>UD07</v>
      </c>
      <c r="L214" s="14" t="str">
        <f t="shared" si="30"/>
        <v>Porto Alegre</v>
      </c>
    </row>
    <row r="215" spans="1:12" x14ac:dyDescent="0.25">
      <c r="A215" s="15">
        <v>214</v>
      </c>
      <c r="B215" s="15" t="s">
        <v>452</v>
      </c>
      <c r="C215" s="15">
        <v>5</v>
      </c>
      <c r="D215" s="26">
        <v>15000</v>
      </c>
      <c r="E215" s="14" t="str">
        <f t="shared" si="23"/>
        <v>VA003</v>
      </c>
      <c r="F215" s="14" t="str">
        <f t="shared" si="24"/>
        <v>Bianca Paz</v>
      </c>
      <c r="G215" s="14" t="str">
        <f t="shared" si="25"/>
        <v>1021</v>
      </c>
      <c r="H215" s="14" t="str">
        <f t="shared" si="26"/>
        <v>Galaxy S8 - Verde</v>
      </c>
      <c r="I215" s="14" t="str">
        <f t="shared" si="27"/>
        <v>CLR</v>
      </c>
      <c r="J215" s="14" t="str">
        <f t="shared" si="28"/>
        <v>Celular</v>
      </c>
      <c r="K215" s="14" t="str">
        <f t="shared" si="29"/>
        <v>UD04</v>
      </c>
      <c r="L215" s="14" t="str">
        <f t="shared" si="30"/>
        <v>Curitiba</v>
      </c>
    </row>
    <row r="216" spans="1:12" x14ac:dyDescent="0.25">
      <c r="A216" s="15">
        <v>215</v>
      </c>
      <c r="B216" s="15" t="s">
        <v>453</v>
      </c>
      <c r="C216" s="15">
        <v>1</v>
      </c>
      <c r="D216" s="26">
        <v>2300</v>
      </c>
      <c r="E216" s="14" t="str">
        <f t="shared" si="23"/>
        <v>VA027</v>
      </c>
      <c r="F216" s="14" t="str">
        <f t="shared" si="24"/>
        <v>Caio Vianna</v>
      </c>
      <c r="G216" s="14" t="str">
        <f t="shared" si="25"/>
        <v>1007</v>
      </c>
      <c r="H216" s="14" t="str">
        <f t="shared" si="26"/>
        <v>Inspiron 15 - Prata</v>
      </c>
      <c r="I216" s="14" t="str">
        <f t="shared" si="27"/>
        <v>NTB</v>
      </c>
      <c r="J216" s="14" t="str">
        <f t="shared" si="28"/>
        <v>Notebook</v>
      </c>
      <c r="K216" s="14" t="str">
        <f t="shared" si="29"/>
        <v>UD08</v>
      </c>
      <c r="L216" s="14" t="str">
        <f t="shared" si="30"/>
        <v>Nova Iguaçu</v>
      </c>
    </row>
    <row r="217" spans="1:12" x14ac:dyDescent="0.25">
      <c r="A217" s="15">
        <v>216</v>
      </c>
      <c r="B217" s="15" t="s">
        <v>454</v>
      </c>
      <c r="C217" s="15">
        <v>1</v>
      </c>
      <c r="D217" s="26">
        <v>1900</v>
      </c>
      <c r="E217" s="14" t="str">
        <f t="shared" si="23"/>
        <v>VA016</v>
      </c>
      <c r="F217" s="14" t="str">
        <f t="shared" si="24"/>
        <v>Tiago Pereira</v>
      </c>
      <c r="G217" s="14" t="str">
        <f t="shared" si="25"/>
        <v>1010</v>
      </c>
      <c r="H217" s="14" t="str">
        <f t="shared" si="26"/>
        <v>iPhone 6S - Rosa</v>
      </c>
      <c r="I217" s="14" t="str">
        <f t="shared" si="27"/>
        <v>CLR</v>
      </c>
      <c r="J217" s="14" t="str">
        <f t="shared" si="28"/>
        <v>Celular</v>
      </c>
      <c r="K217" s="14" t="str">
        <f t="shared" si="29"/>
        <v>UD08</v>
      </c>
      <c r="L217" s="14" t="str">
        <f t="shared" si="30"/>
        <v>Nova Iguaçu</v>
      </c>
    </row>
    <row r="218" spans="1:12" x14ac:dyDescent="0.25">
      <c r="A218" s="15">
        <v>217</v>
      </c>
      <c r="B218" s="15" t="s">
        <v>455</v>
      </c>
      <c r="C218" s="15">
        <v>3</v>
      </c>
      <c r="D218" s="26">
        <v>4500</v>
      </c>
      <c r="E218" s="14" t="str">
        <f t="shared" si="23"/>
        <v>VA051</v>
      </c>
      <c r="F218" s="14" t="str">
        <f t="shared" si="24"/>
        <v>Thiago Miura</v>
      </c>
      <c r="G218" s="14" t="str">
        <f t="shared" si="25"/>
        <v>1020</v>
      </c>
      <c r="H218" s="14" t="str">
        <f t="shared" si="26"/>
        <v>Moto Z - Vermelho</v>
      </c>
      <c r="I218" s="14" t="str">
        <f t="shared" si="27"/>
        <v>CLR</v>
      </c>
      <c r="J218" s="14" t="str">
        <f t="shared" si="28"/>
        <v>Celular</v>
      </c>
      <c r="K218" s="14" t="str">
        <f t="shared" si="29"/>
        <v>UD12</v>
      </c>
      <c r="L218" s="14" t="str">
        <f t="shared" si="30"/>
        <v>Guarulhos</v>
      </c>
    </row>
    <row r="219" spans="1:12" x14ac:dyDescent="0.25">
      <c r="A219" s="15">
        <v>218</v>
      </c>
      <c r="B219" s="15" t="s">
        <v>456</v>
      </c>
      <c r="C219" s="15">
        <v>1</v>
      </c>
      <c r="D219" s="26">
        <v>700</v>
      </c>
      <c r="E219" s="14" t="str">
        <f t="shared" si="23"/>
        <v>VA037</v>
      </c>
      <c r="F219" s="14" t="str">
        <f t="shared" si="24"/>
        <v>Fernanda Junior</v>
      </c>
      <c r="G219" s="14" t="str">
        <f t="shared" si="25"/>
        <v>1015</v>
      </c>
      <c r="H219" s="14" t="str">
        <f t="shared" si="26"/>
        <v>Câmera Digital Sony Cyber - Azul</v>
      </c>
      <c r="I219" s="14" t="str">
        <f t="shared" si="27"/>
        <v>CAM</v>
      </c>
      <c r="J219" s="14" t="str">
        <f t="shared" si="28"/>
        <v>Câmera</v>
      </c>
      <c r="K219" s="14" t="str">
        <f t="shared" si="29"/>
        <v>UD06</v>
      </c>
      <c r="L219" s="14" t="str">
        <f t="shared" si="30"/>
        <v>Recife</v>
      </c>
    </row>
    <row r="220" spans="1:12" x14ac:dyDescent="0.25">
      <c r="A220" s="15">
        <v>219</v>
      </c>
      <c r="B220" s="15" t="s">
        <v>457</v>
      </c>
      <c r="C220" s="15">
        <v>1</v>
      </c>
      <c r="D220" s="26">
        <v>750</v>
      </c>
      <c r="E220" s="14" t="str">
        <f t="shared" si="23"/>
        <v>VA043</v>
      </c>
      <c r="F220" s="14" t="str">
        <f t="shared" si="24"/>
        <v>Manuela Ferreira</v>
      </c>
      <c r="G220" s="14" t="str">
        <f t="shared" si="25"/>
        <v>1022</v>
      </c>
      <c r="H220" s="14" t="str">
        <f t="shared" si="26"/>
        <v>iPad 32GB Wifi - Prata</v>
      </c>
      <c r="I220" s="14" t="str">
        <f t="shared" si="27"/>
        <v>TBL</v>
      </c>
      <c r="J220" s="14" t="str">
        <f t="shared" si="28"/>
        <v>Tablet</v>
      </c>
      <c r="K220" s="14" t="str">
        <f t="shared" si="29"/>
        <v>UD11</v>
      </c>
      <c r="L220" s="14" t="str">
        <f t="shared" si="30"/>
        <v>Goiânia</v>
      </c>
    </row>
    <row r="221" spans="1:12" x14ac:dyDescent="0.25">
      <c r="A221" s="15">
        <v>220</v>
      </c>
      <c r="B221" s="15" t="s">
        <v>458</v>
      </c>
      <c r="C221" s="15">
        <v>1</v>
      </c>
      <c r="D221" s="26">
        <v>1750</v>
      </c>
      <c r="E221" s="14" t="str">
        <f t="shared" si="23"/>
        <v>VA031</v>
      </c>
      <c r="F221" s="14" t="str">
        <f t="shared" si="24"/>
        <v>Giuseppe Bhering</v>
      </c>
      <c r="G221" s="14" t="str">
        <f t="shared" si="25"/>
        <v>1004</v>
      </c>
      <c r="H221" s="14" t="str">
        <f t="shared" si="26"/>
        <v>Apple Watch - Preto</v>
      </c>
      <c r="I221" s="14" t="str">
        <f t="shared" si="27"/>
        <v>SMW</v>
      </c>
      <c r="J221" s="14" t="str">
        <f t="shared" si="28"/>
        <v>Smart Watch</v>
      </c>
      <c r="K221" s="14" t="str">
        <f t="shared" si="29"/>
        <v>UD12</v>
      </c>
      <c r="L221" s="14" t="str">
        <f t="shared" si="30"/>
        <v>Guarulhos</v>
      </c>
    </row>
    <row r="222" spans="1:12" x14ac:dyDescent="0.25">
      <c r="A222" s="15">
        <v>221</v>
      </c>
      <c r="B222" s="15" t="s">
        <v>459</v>
      </c>
      <c r="C222" s="15">
        <v>3</v>
      </c>
      <c r="D222" s="26">
        <v>6900</v>
      </c>
      <c r="E222" s="14" t="str">
        <f t="shared" si="23"/>
        <v>VA050</v>
      </c>
      <c r="F222" s="14" t="str">
        <f t="shared" si="24"/>
        <v>Tayla Lima</v>
      </c>
      <c r="G222" s="14" t="str">
        <f t="shared" si="25"/>
        <v>1007</v>
      </c>
      <c r="H222" s="14" t="str">
        <f t="shared" si="26"/>
        <v>Inspiron 15 - Prata</v>
      </c>
      <c r="I222" s="14" t="str">
        <f t="shared" si="27"/>
        <v>NTB</v>
      </c>
      <c r="J222" s="14" t="str">
        <f t="shared" si="28"/>
        <v>Notebook</v>
      </c>
      <c r="K222" s="14" t="str">
        <f t="shared" si="29"/>
        <v>UD06</v>
      </c>
      <c r="L222" s="14" t="str">
        <f t="shared" si="30"/>
        <v>Recife</v>
      </c>
    </row>
    <row r="223" spans="1:12" x14ac:dyDescent="0.25">
      <c r="A223" s="15">
        <v>222</v>
      </c>
      <c r="B223" s="15" t="s">
        <v>460</v>
      </c>
      <c r="C223" s="15">
        <v>1</v>
      </c>
      <c r="D223" s="26">
        <v>700</v>
      </c>
      <c r="E223" s="14" t="str">
        <f t="shared" si="23"/>
        <v>VA046</v>
      </c>
      <c r="F223" s="14" t="str">
        <f t="shared" si="24"/>
        <v>Adrielle Forte</v>
      </c>
      <c r="G223" s="14" t="str">
        <f t="shared" si="25"/>
        <v>1015</v>
      </c>
      <c r="H223" s="14" t="str">
        <f t="shared" si="26"/>
        <v>Câmera Digital Sony Cyber - Azul</v>
      </c>
      <c r="I223" s="14" t="str">
        <f t="shared" si="27"/>
        <v>CAM</v>
      </c>
      <c r="J223" s="14" t="str">
        <f t="shared" si="28"/>
        <v>Câmera</v>
      </c>
      <c r="K223" s="14" t="str">
        <f t="shared" si="29"/>
        <v>UD02</v>
      </c>
      <c r="L223" s="14" t="str">
        <f t="shared" si="30"/>
        <v>Belo Horizonte</v>
      </c>
    </row>
    <row r="224" spans="1:12" x14ac:dyDescent="0.25">
      <c r="A224" s="15">
        <v>223</v>
      </c>
      <c r="B224" s="15" t="s">
        <v>461</v>
      </c>
      <c r="C224" s="15">
        <v>1</v>
      </c>
      <c r="D224" s="26">
        <v>1900</v>
      </c>
      <c r="E224" s="14" t="str">
        <f t="shared" si="23"/>
        <v>VA011</v>
      </c>
      <c r="F224" s="14" t="str">
        <f t="shared" si="24"/>
        <v>Raissa Negrelli</v>
      </c>
      <c r="G224" s="14" t="str">
        <f t="shared" si="25"/>
        <v>1010</v>
      </c>
      <c r="H224" s="14" t="str">
        <f t="shared" si="26"/>
        <v>iPhone 6S - Rosa</v>
      </c>
      <c r="I224" s="14" t="str">
        <f t="shared" si="27"/>
        <v>CLR</v>
      </c>
      <c r="J224" s="14" t="str">
        <f t="shared" si="28"/>
        <v>Celular</v>
      </c>
      <c r="K224" s="14" t="str">
        <f t="shared" si="29"/>
        <v>UD05</v>
      </c>
      <c r="L224" s="14" t="str">
        <f t="shared" si="30"/>
        <v>Fortaleza</v>
      </c>
    </row>
    <row r="225" spans="1:12" x14ac:dyDescent="0.25">
      <c r="A225" s="15">
        <v>224</v>
      </c>
      <c r="B225" s="15" t="s">
        <v>462</v>
      </c>
      <c r="C225" s="15">
        <v>2</v>
      </c>
      <c r="D225" s="26">
        <v>3100</v>
      </c>
      <c r="E225" s="14" t="str">
        <f t="shared" si="23"/>
        <v>VA002</v>
      </c>
      <c r="F225" s="14" t="str">
        <f t="shared" si="24"/>
        <v>Antonio Manhães</v>
      </c>
      <c r="G225" s="14" t="str">
        <f t="shared" si="25"/>
        <v>1013</v>
      </c>
      <c r="H225" s="14" t="str">
        <f t="shared" si="26"/>
        <v>Câmera Coolpix L340 - Cinza</v>
      </c>
      <c r="I225" s="14" t="str">
        <f t="shared" si="27"/>
        <v>CAM</v>
      </c>
      <c r="J225" s="14" t="str">
        <f t="shared" si="28"/>
        <v>Câmera</v>
      </c>
      <c r="K225" s="14" t="str">
        <f t="shared" si="29"/>
        <v>UD12</v>
      </c>
      <c r="L225" s="14" t="str">
        <f t="shared" si="30"/>
        <v>Guarulhos</v>
      </c>
    </row>
    <row r="226" spans="1:12" x14ac:dyDescent="0.25">
      <c r="A226" s="15">
        <v>225</v>
      </c>
      <c r="B226" s="15" t="s">
        <v>463</v>
      </c>
      <c r="C226" s="15">
        <v>1</v>
      </c>
      <c r="D226" s="26">
        <v>1900</v>
      </c>
      <c r="E226" s="14" t="str">
        <f t="shared" si="23"/>
        <v>VA001</v>
      </c>
      <c r="F226" s="14" t="str">
        <f t="shared" si="24"/>
        <v>Sthefeson Pereira</v>
      </c>
      <c r="G226" s="14" t="str">
        <f t="shared" si="25"/>
        <v>1010</v>
      </c>
      <c r="H226" s="14" t="str">
        <f t="shared" si="26"/>
        <v>iPhone 6S - Rosa</v>
      </c>
      <c r="I226" s="14" t="str">
        <f t="shared" si="27"/>
        <v>CLR</v>
      </c>
      <c r="J226" s="14" t="str">
        <f t="shared" si="28"/>
        <v>Celular</v>
      </c>
      <c r="K226" s="14" t="str">
        <f t="shared" si="29"/>
        <v>UD03</v>
      </c>
      <c r="L226" s="14" t="str">
        <f t="shared" si="30"/>
        <v>Salvador</v>
      </c>
    </row>
    <row r="227" spans="1:12" x14ac:dyDescent="0.25">
      <c r="A227" s="15">
        <v>226</v>
      </c>
      <c r="B227" s="15" t="s">
        <v>464</v>
      </c>
      <c r="C227" s="15">
        <v>1</v>
      </c>
      <c r="D227" s="26">
        <v>700</v>
      </c>
      <c r="E227" s="14" t="str">
        <f t="shared" si="23"/>
        <v>VA014</v>
      </c>
      <c r="F227" s="14" t="str">
        <f t="shared" si="24"/>
        <v>João Aires</v>
      </c>
      <c r="G227" s="14" t="str">
        <f t="shared" si="25"/>
        <v>1015</v>
      </c>
      <c r="H227" s="14" t="str">
        <f t="shared" si="26"/>
        <v>Câmera Digital Sony Cyber - Azul</v>
      </c>
      <c r="I227" s="14" t="str">
        <f t="shared" si="27"/>
        <v>CAM</v>
      </c>
      <c r="J227" s="14" t="str">
        <f t="shared" si="28"/>
        <v>Câmera</v>
      </c>
      <c r="K227" s="14" t="str">
        <f t="shared" si="29"/>
        <v>UD03</v>
      </c>
      <c r="L227" s="14" t="str">
        <f t="shared" si="30"/>
        <v>Salvador</v>
      </c>
    </row>
    <row r="228" spans="1:12" x14ac:dyDescent="0.25">
      <c r="A228" s="15">
        <v>227</v>
      </c>
      <c r="B228" s="15" t="s">
        <v>465</v>
      </c>
      <c r="C228" s="15">
        <v>2</v>
      </c>
      <c r="D228" s="26">
        <v>4800</v>
      </c>
      <c r="E228" s="14" t="str">
        <f t="shared" si="23"/>
        <v>VA048</v>
      </c>
      <c r="F228" s="14" t="str">
        <f t="shared" si="24"/>
        <v>Pedro Jorge</v>
      </c>
      <c r="G228" s="14" t="str">
        <f t="shared" si="25"/>
        <v>1024</v>
      </c>
      <c r="H228" s="14" t="str">
        <f t="shared" si="26"/>
        <v>Aspire 5 - Cinza</v>
      </c>
      <c r="I228" s="14" t="str">
        <f t="shared" si="27"/>
        <v>NTB</v>
      </c>
      <c r="J228" s="14" t="str">
        <f t="shared" si="28"/>
        <v>Notebook</v>
      </c>
      <c r="K228" s="14" t="str">
        <f t="shared" si="29"/>
        <v>UD08</v>
      </c>
      <c r="L228" s="14" t="str">
        <f t="shared" si="30"/>
        <v>Nova Iguaçu</v>
      </c>
    </row>
    <row r="229" spans="1:12" x14ac:dyDescent="0.25">
      <c r="A229" s="15">
        <v>228</v>
      </c>
      <c r="B229" s="15" t="s">
        <v>466</v>
      </c>
      <c r="C229" s="15">
        <v>1</v>
      </c>
      <c r="D229" s="26">
        <v>2400</v>
      </c>
      <c r="E229" s="14" t="str">
        <f t="shared" si="23"/>
        <v>VA021</v>
      </c>
      <c r="F229" s="14" t="str">
        <f t="shared" si="24"/>
        <v>Ruan Lopes</v>
      </c>
      <c r="G229" s="14" t="str">
        <f t="shared" si="25"/>
        <v>1024</v>
      </c>
      <c r="H229" s="14" t="str">
        <f t="shared" si="26"/>
        <v>Aspire 5 - Cinza</v>
      </c>
      <c r="I229" s="14" t="str">
        <f t="shared" si="27"/>
        <v>NTB</v>
      </c>
      <c r="J229" s="14" t="str">
        <f t="shared" si="28"/>
        <v>Notebook</v>
      </c>
      <c r="K229" s="14" t="str">
        <f t="shared" si="29"/>
        <v>UD13</v>
      </c>
      <c r="L229" s="14" t="str">
        <f t="shared" si="30"/>
        <v>Campinas</v>
      </c>
    </row>
    <row r="230" spans="1:12" x14ac:dyDescent="0.25">
      <c r="A230" s="15">
        <v>229</v>
      </c>
      <c r="B230" s="15" t="s">
        <v>467</v>
      </c>
      <c r="C230" s="15">
        <v>3</v>
      </c>
      <c r="D230" s="26">
        <v>2250</v>
      </c>
      <c r="E230" s="14" t="str">
        <f t="shared" si="23"/>
        <v>VA026</v>
      </c>
      <c r="F230" s="14" t="str">
        <f t="shared" si="24"/>
        <v>Bruna Ramos</v>
      </c>
      <c r="G230" s="14" t="str">
        <f t="shared" si="25"/>
        <v>1022</v>
      </c>
      <c r="H230" s="14" t="str">
        <f t="shared" si="26"/>
        <v>iPad 32GB Wifi - Prata</v>
      </c>
      <c r="I230" s="14" t="str">
        <f t="shared" si="27"/>
        <v>TBL</v>
      </c>
      <c r="J230" s="14" t="str">
        <f t="shared" si="28"/>
        <v>Tablet</v>
      </c>
      <c r="K230" s="14" t="str">
        <f t="shared" si="29"/>
        <v>UD11</v>
      </c>
      <c r="L230" s="14" t="str">
        <f t="shared" si="30"/>
        <v>Goiânia</v>
      </c>
    </row>
    <row r="231" spans="1:12" x14ac:dyDescent="0.25">
      <c r="A231" s="15">
        <v>230</v>
      </c>
      <c r="B231" s="15" t="s">
        <v>468</v>
      </c>
      <c r="C231" s="15">
        <v>1</v>
      </c>
      <c r="D231" s="26">
        <v>2600</v>
      </c>
      <c r="E231" s="14" t="str">
        <f t="shared" si="23"/>
        <v>VA017</v>
      </c>
      <c r="F231" s="14" t="str">
        <f t="shared" si="24"/>
        <v>Julia Penteado</v>
      </c>
      <c r="G231" s="14" t="str">
        <f t="shared" si="25"/>
        <v>1001</v>
      </c>
      <c r="H231" s="14" t="str">
        <f t="shared" si="26"/>
        <v>Smart TV 50' 4K - Preto</v>
      </c>
      <c r="I231" s="14" t="str">
        <f t="shared" si="27"/>
        <v>TLV</v>
      </c>
      <c r="J231" s="14" t="str">
        <f t="shared" si="28"/>
        <v>Televisão</v>
      </c>
      <c r="K231" s="14" t="str">
        <f t="shared" si="29"/>
        <v>UD02</v>
      </c>
      <c r="L231" s="14" t="str">
        <f t="shared" si="30"/>
        <v>Belo Horizonte</v>
      </c>
    </row>
    <row r="232" spans="1:12" x14ac:dyDescent="0.25">
      <c r="A232" s="15">
        <v>231</v>
      </c>
      <c r="B232" s="15" t="s">
        <v>469</v>
      </c>
      <c r="C232" s="15">
        <v>1</v>
      </c>
      <c r="D232" s="26">
        <v>4500</v>
      </c>
      <c r="E232" s="14" t="str">
        <f t="shared" si="23"/>
        <v>VA045</v>
      </c>
      <c r="F232" s="14" t="str">
        <f t="shared" si="24"/>
        <v>Jéssica Resinente</v>
      </c>
      <c r="G232" s="14" t="str">
        <f t="shared" si="25"/>
        <v>1003</v>
      </c>
      <c r="H232" s="14" t="str">
        <f t="shared" si="26"/>
        <v>Galaxy S10 - Cinza</v>
      </c>
      <c r="I232" s="14" t="str">
        <f t="shared" si="27"/>
        <v>CLR</v>
      </c>
      <c r="J232" s="14" t="str">
        <f t="shared" si="28"/>
        <v>Celular</v>
      </c>
      <c r="K232" s="14" t="str">
        <f t="shared" si="29"/>
        <v>UD06</v>
      </c>
      <c r="L232" s="14" t="str">
        <f t="shared" si="30"/>
        <v>Recife</v>
      </c>
    </row>
    <row r="233" spans="1:12" x14ac:dyDescent="0.25">
      <c r="A233" s="15">
        <v>232</v>
      </c>
      <c r="B233" s="15" t="s">
        <v>470</v>
      </c>
      <c r="C233" s="15">
        <v>2</v>
      </c>
      <c r="D233" s="26">
        <v>3000</v>
      </c>
      <c r="E233" s="14" t="str">
        <f t="shared" si="23"/>
        <v>VA020</v>
      </c>
      <c r="F233" s="14" t="str">
        <f t="shared" si="24"/>
        <v>Thays Castro</v>
      </c>
      <c r="G233" s="14" t="str">
        <f t="shared" si="25"/>
        <v>1005</v>
      </c>
      <c r="H233" s="14" t="str">
        <f t="shared" si="26"/>
        <v>Câmera Digital Rebel T6 - Preto</v>
      </c>
      <c r="I233" s="14" t="str">
        <f t="shared" si="27"/>
        <v>CAM</v>
      </c>
      <c r="J233" s="14" t="str">
        <f t="shared" si="28"/>
        <v>Câmera</v>
      </c>
      <c r="K233" s="14" t="str">
        <f t="shared" si="29"/>
        <v>UD07</v>
      </c>
      <c r="L233" s="14" t="str">
        <f t="shared" si="30"/>
        <v>Porto Alegre</v>
      </c>
    </row>
    <row r="234" spans="1:12" x14ac:dyDescent="0.25">
      <c r="A234" s="15">
        <v>233</v>
      </c>
      <c r="B234" s="15" t="s">
        <v>471</v>
      </c>
      <c r="C234" s="15">
        <v>1</v>
      </c>
      <c r="D234" s="26">
        <v>4500</v>
      </c>
      <c r="E234" s="14" t="str">
        <f t="shared" si="23"/>
        <v>VA017</v>
      </c>
      <c r="F234" s="14" t="str">
        <f t="shared" si="24"/>
        <v>Julia Penteado</v>
      </c>
      <c r="G234" s="14" t="str">
        <f t="shared" si="25"/>
        <v>1003</v>
      </c>
      <c r="H234" s="14" t="str">
        <f t="shared" si="26"/>
        <v>Galaxy S10 - Cinza</v>
      </c>
      <c r="I234" s="14" t="str">
        <f t="shared" si="27"/>
        <v>CLR</v>
      </c>
      <c r="J234" s="14" t="str">
        <f t="shared" si="28"/>
        <v>Celular</v>
      </c>
      <c r="K234" s="14" t="str">
        <f t="shared" si="29"/>
        <v>UD11</v>
      </c>
      <c r="L234" s="14" t="str">
        <f t="shared" si="30"/>
        <v>Goiânia</v>
      </c>
    </row>
    <row r="235" spans="1:12" x14ac:dyDescent="0.25">
      <c r="A235" s="15">
        <v>234</v>
      </c>
      <c r="B235" s="15" t="s">
        <v>472</v>
      </c>
      <c r="C235" s="15">
        <v>1</v>
      </c>
      <c r="D235" s="26">
        <v>700</v>
      </c>
      <c r="E235" s="14" t="str">
        <f t="shared" si="23"/>
        <v>VA027</v>
      </c>
      <c r="F235" s="14" t="str">
        <f t="shared" si="24"/>
        <v>Caio Vianna</v>
      </c>
      <c r="G235" s="14" t="str">
        <f t="shared" si="25"/>
        <v>1015</v>
      </c>
      <c r="H235" s="14" t="str">
        <f t="shared" si="26"/>
        <v>Câmera Digital Sony Cyber - Azul</v>
      </c>
      <c r="I235" s="14" t="str">
        <f t="shared" si="27"/>
        <v>CAM</v>
      </c>
      <c r="J235" s="14" t="str">
        <f t="shared" si="28"/>
        <v>Câmera</v>
      </c>
      <c r="K235" s="14" t="str">
        <f t="shared" si="29"/>
        <v>UD10</v>
      </c>
      <c r="L235" s="14" t="str">
        <f t="shared" si="30"/>
        <v>Niterói</v>
      </c>
    </row>
    <row r="236" spans="1:12" x14ac:dyDescent="0.25">
      <c r="A236" s="15">
        <v>235</v>
      </c>
      <c r="B236" s="15" t="s">
        <v>473</v>
      </c>
      <c r="C236" s="15">
        <v>1</v>
      </c>
      <c r="D236" s="26">
        <v>2000</v>
      </c>
      <c r="E236" s="14" t="str">
        <f t="shared" si="23"/>
        <v>VA031</v>
      </c>
      <c r="F236" s="14" t="str">
        <f t="shared" si="24"/>
        <v>Giuseppe Bhering</v>
      </c>
      <c r="G236" s="14" t="str">
        <f t="shared" si="25"/>
        <v>1011</v>
      </c>
      <c r="H236" s="14" t="str">
        <f t="shared" si="26"/>
        <v>Tablet M10 Android - Preto</v>
      </c>
      <c r="I236" s="14" t="str">
        <f t="shared" si="27"/>
        <v>TBL</v>
      </c>
      <c r="J236" s="14" t="str">
        <f t="shared" si="28"/>
        <v>Tablet</v>
      </c>
      <c r="K236" s="14" t="str">
        <f t="shared" si="29"/>
        <v>UD10</v>
      </c>
      <c r="L236" s="14" t="str">
        <f t="shared" si="30"/>
        <v>Niterói</v>
      </c>
    </row>
    <row r="237" spans="1:12" x14ac:dyDescent="0.25">
      <c r="A237" s="15">
        <v>236</v>
      </c>
      <c r="B237" s="15" t="s">
        <v>474</v>
      </c>
      <c r="C237" s="15">
        <v>4</v>
      </c>
      <c r="D237" s="26">
        <v>10400</v>
      </c>
      <c r="E237" s="14" t="str">
        <f t="shared" si="23"/>
        <v>VA021</v>
      </c>
      <c r="F237" s="14" t="str">
        <f t="shared" si="24"/>
        <v>Ruan Lopes</v>
      </c>
      <c r="G237" s="14" t="str">
        <f t="shared" si="25"/>
        <v>1001</v>
      </c>
      <c r="H237" s="14" t="str">
        <f t="shared" si="26"/>
        <v>Smart TV 50' 4K - Preto</v>
      </c>
      <c r="I237" s="14" t="str">
        <f t="shared" si="27"/>
        <v>TLV</v>
      </c>
      <c r="J237" s="14" t="str">
        <f t="shared" si="28"/>
        <v>Televisão</v>
      </c>
      <c r="K237" s="14" t="str">
        <f t="shared" si="29"/>
        <v>UD12</v>
      </c>
      <c r="L237" s="14" t="str">
        <f t="shared" si="30"/>
        <v>Guarulhos</v>
      </c>
    </row>
    <row r="238" spans="1:12" x14ac:dyDescent="0.25">
      <c r="A238" s="15">
        <v>237</v>
      </c>
      <c r="B238" s="15" t="s">
        <v>475</v>
      </c>
      <c r="C238" s="15">
        <v>5</v>
      </c>
      <c r="D238" s="26">
        <v>10000</v>
      </c>
      <c r="E238" s="14" t="str">
        <f t="shared" si="23"/>
        <v>VA030</v>
      </c>
      <c r="F238" s="14" t="str">
        <f t="shared" si="24"/>
        <v>Pedro Macckione</v>
      </c>
      <c r="G238" s="14" t="str">
        <f t="shared" si="25"/>
        <v>1008</v>
      </c>
      <c r="H238" s="14" t="str">
        <f t="shared" si="26"/>
        <v>Smart TV LED Full HD 55' - Preto</v>
      </c>
      <c r="I238" s="14" t="str">
        <f t="shared" si="27"/>
        <v>TLV</v>
      </c>
      <c r="J238" s="14" t="str">
        <f t="shared" si="28"/>
        <v>Televisão</v>
      </c>
      <c r="K238" s="14" t="str">
        <f t="shared" si="29"/>
        <v>UD09</v>
      </c>
      <c r="L238" s="14" t="str">
        <f t="shared" si="30"/>
        <v>São Paulo</v>
      </c>
    </row>
    <row r="239" spans="1:12" x14ac:dyDescent="0.25">
      <c r="A239" s="15">
        <v>238</v>
      </c>
      <c r="B239" s="15" t="s">
        <v>476</v>
      </c>
      <c r="C239" s="15">
        <v>1</v>
      </c>
      <c r="D239" s="26">
        <v>1200</v>
      </c>
      <c r="E239" s="14" t="str">
        <f t="shared" si="23"/>
        <v>VA020</v>
      </c>
      <c r="F239" s="14" t="str">
        <f t="shared" si="24"/>
        <v>Thays Castro</v>
      </c>
      <c r="G239" s="14" t="str">
        <f t="shared" si="25"/>
        <v>1018</v>
      </c>
      <c r="H239" s="14" t="str">
        <f t="shared" si="26"/>
        <v>Smart Watch MI - Amarelo</v>
      </c>
      <c r="I239" s="14" t="str">
        <f t="shared" si="27"/>
        <v>SMW</v>
      </c>
      <c r="J239" s="14" t="str">
        <f t="shared" si="28"/>
        <v>Smart Watch</v>
      </c>
      <c r="K239" s="14" t="str">
        <f t="shared" si="29"/>
        <v>UD01</v>
      </c>
      <c r="L239" s="14" t="str">
        <f t="shared" si="30"/>
        <v>Rio de Janeiro</v>
      </c>
    </row>
    <row r="240" spans="1:12" x14ac:dyDescent="0.25">
      <c r="A240" s="15">
        <v>239</v>
      </c>
      <c r="B240" s="15" t="s">
        <v>403</v>
      </c>
      <c r="C240" s="15">
        <v>1</v>
      </c>
      <c r="D240" s="26">
        <v>2600</v>
      </c>
      <c r="E240" s="14" t="str">
        <f t="shared" si="23"/>
        <v>VA035</v>
      </c>
      <c r="F240" s="14" t="str">
        <f t="shared" si="24"/>
        <v>Larissa Florim</v>
      </c>
      <c r="G240" s="14" t="str">
        <f t="shared" si="25"/>
        <v>1001</v>
      </c>
      <c r="H240" s="14" t="str">
        <f t="shared" si="26"/>
        <v>Smart TV 50' 4K - Preto</v>
      </c>
      <c r="I240" s="14" t="str">
        <f t="shared" si="27"/>
        <v>TLV</v>
      </c>
      <c r="J240" s="14" t="str">
        <f t="shared" si="28"/>
        <v>Televisão</v>
      </c>
      <c r="K240" s="14" t="str">
        <f t="shared" si="29"/>
        <v>UD09</v>
      </c>
      <c r="L240" s="14" t="str">
        <f t="shared" si="30"/>
        <v>São Paulo</v>
      </c>
    </row>
    <row r="241" spans="1:12" x14ac:dyDescent="0.25">
      <c r="A241" s="15">
        <v>240</v>
      </c>
      <c r="B241" s="15" t="s">
        <v>477</v>
      </c>
      <c r="C241" s="15">
        <v>1</v>
      </c>
      <c r="D241" s="26">
        <v>6500</v>
      </c>
      <c r="E241" s="14" t="str">
        <f t="shared" si="23"/>
        <v>VA006</v>
      </c>
      <c r="F241" s="14" t="str">
        <f t="shared" si="24"/>
        <v>Ana Silva</v>
      </c>
      <c r="G241" s="14" t="str">
        <f t="shared" si="25"/>
        <v>1019</v>
      </c>
      <c r="H241" s="14" t="str">
        <f t="shared" si="26"/>
        <v>iPhone XS - Preto</v>
      </c>
      <c r="I241" s="14" t="str">
        <f t="shared" si="27"/>
        <v>CLR</v>
      </c>
      <c r="J241" s="14" t="str">
        <f t="shared" si="28"/>
        <v>Celular</v>
      </c>
      <c r="K241" s="14" t="str">
        <f t="shared" si="29"/>
        <v>UD07</v>
      </c>
      <c r="L241" s="14" t="str">
        <f t="shared" si="30"/>
        <v>Porto Alegre</v>
      </c>
    </row>
    <row r="242" spans="1:12" x14ac:dyDescent="0.25">
      <c r="A242" s="15">
        <v>241</v>
      </c>
      <c r="B242" s="15" t="s">
        <v>478</v>
      </c>
      <c r="C242" s="15">
        <v>1</v>
      </c>
      <c r="D242" s="26">
        <v>4500</v>
      </c>
      <c r="E242" s="14" t="str">
        <f t="shared" si="23"/>
        <v>VA023</v>
      </c>
      <c r="F242" s="14" t="str">
        <f t="shared" si="24"/>
        <v>Alexandre Rodriguez</v>
      </c>
      <c r="G242" s="14" t="str">
        <f t="shared" si="25"/>
        <v>1003</v>
      </c>
      <c r="H242" s="14" t="str">
        <f t="shared" si="26"/>
        <v>Galaxy S10 - Cinza</v>
      </c>
      <c r="I242" s="14" t="str">
        <f t="shared" si="27"/>
        <v>CLR</v>
      </c>
      <c r="J242" s="14" t="str">
        <f t="shared" si="28"/>
        <v>Celular</v>
      </c>
      <c r="K242" s="14" t="str">
        <f t="shared" si="29"/>
        <v>UD07</v>
      </c>
      <c r="L242" s="14" t="str">
        <f t="shared" si="30"/>
        <v>Porto Alegre</v>
      </c>
    </row>
    <row r="243" spans="1:12" x14ac:dyDescent="0.25">
      <c r="A243" s="15">
        <v>242</v>
      </c>
      <c r="B243" s="15" t="s">
        <v>479</v>
      </c>
      <c r="C243" s="15">
        <v>1</v>
      </c>
      <c r="D243" s="26">
        <v>1550</v>
      </c>
      <c r="E243" s="14" t="str">
        <f t="shared" si="23"/>
        <v>VA020</v>
      </c>
      <c r="F243" s="14" t="str">
        <f t="shared" si="24"/>
        <v>Thays Castro</v>
      </c>
      <c r="G243" s="14" t="str">
        <f t="shared" si="25"/>
        <v>1013</v>
      </c>
      <c r="H243" s="14" t="str">
        <f t="shared" si="26"/>
        <v>Câmera Coolpix L340 - Cinza</v>
      </c>
      <c r="I243" s="14" t="str">
        <f t="shared" si="27"/>
        <v>CAM</v>
      </c>
      <c r="J243" s="14" t="str">
        <f t="shared" si="28"/>
        <v>Câmera</v>
      </c>
      <c r="K243" s="14" t="str">
        <f t="shared" si="29"/>
        <v>UD05</v>
      </c>
      <c r="L243" s="14" t="str">
        <f t="shared" si="30"/>
        <v>Fortaleza</v>
      </c>
    </row>
    <row r="244" spans="1:12" x14ac:dyDescent="0.25">
      <c r="A244" s="15">
        <v>243</v>
      </c>
      <c r="B244" s="15" t="s">
        <v>480</v>
      </c>
      <c r="C244" s="15">
        <v>5</v>
      </c>
      <c r="D244" s="26">
        <v>13000</v>
      </c>
      <c r="E244" s="14" t="str">
        <f t="shared" si="23"/>
        <v>VA003</v>
      </c>
      <c r="F244" s="14" t="str">
        <f t="shared" si="24"/>
        <v>Bianca Paz</v>
      </c>
      <c r="G244" s="14" t="str">
        <f t="shared" si="25"/>
        <v>1001</v>
      </c>
      <c r="H244" s="14" t="str">
        <f t="shared" si="26"/>
        <v>Smart TV 50' 4K - Preto</v>
      </c>
      <c r="I244" s="14" t="str">
        <f t="shared" si="27"/>
        <v>TLV</v>
      </c>
      <c r="J244" s="14" t="str">
        <f t="shared" si="28"/>
        <v>Televisão</v>
      </c>
      <c r="K244" s="14" t="str">
        <f t="shared" si="29"/>
        <v>UD02</v>
      </c>
      <c r="L244" s="14" t="str">
        <f t="shared" si="30"/>
        <v>Belo Horizonte</v>
      </c>
    </row>
    <row r="245" spans="1:12" x14ac:dyDescent="0.25">
      <c r="A245" s="15">
        <v>244</v>
      </c>
      <c r="B245" s="15" t="s">
        <v>481</v>
      </c>
      <c r="C245" s="15">
        <v>5</v>
      </c>
      <c r="D245" s="26">
        <v>3500</v>
      </c>
      <c r="E245" s="14" t="str">
        <f t="shared" si="23"/>
        <v>VA010</v>
      </c>
      <c r="F245" s="14" t="str">
        <f t="shared" si="24"/>
        <v>Fernanda Ferreira</v>
      </c>
      <c r="G245" s="14" t="str">
        <f t="shared" si="25"/>
        <v>1015</v>
      </c>
      <c r="H245" s="14" t="str">
        <f t="shared" si="26"/>
        <v>Câmera Digital Sony Cyber - Azul</v>
      </c>
      <c r="I245" s="14" t="str">
        <f t="shared" si="27"/>
        <v>CAM</v>
      </c>
      <c r="J245" s="14" t="str">
        <f t="shared" si="28"/>
        <v>Câmera</v>
      </c>
      <c r="K245" s="14" t="str">
        <f t="shared" si="29"/>
        <v>UD02</v>
      </c>
      <c r="L245" s="14" t="str">
        <f t="shared" si="30"/>
        <v>Belo Horizonte</v>
      </c>
    </row>
    <row r="246" spans="1:12" x14ac:dyDescent="0.25">
      <c r="A246" s="15">
        <v>245</v>
      </c>
      <c r="B246" s="15" t="s">
        <v>482</v>
      </c>
      <c r="C246" s="15">
        <v>3</v>
      </c>
      <c r="D246" s="26">
        <v>6000</v>
      </c>
      <c r="E246" s="14" t="str">
        <f t="shared" si="23"/>
        <v>VA017</v>
      </c>
      <c r="F246" s="14" t="str">
        <f t="shared" si="24"/>
        <v>Julia Penteado</v>
      </c>
      <c r="G246" s="14" t="str">
        <f t="shared" si="25"/>
        <v>1008</v>
      </c>
      <c r="H246" s="14" t="str">
        <f t="shared" si="26"/>
        <v>Smart TV LED Full HD 55' - Preto</v>
      </c>
      <c r="I246" s="14" t="str">
        <f t="shared" si="27"/>
        <v>TLV</v>
      </c>
      <c r="J246" s="14" t="str">
        <f t="shared" si="28"/>
        <v>Televisão</v>
      </c>
      <c r="K246" s="14" t="str">
        <f t="shared" si="29"/>
        <v>UD12</v>
      </c>
      <c r="L246" s="14" t="str">
        <f t="shared" si="30"/>
        <v>Guarulhos</v>
      </c>
    </row>
    <row r="247" spans="1:12" x14ac:dyDescent="0.25">
      <c r="A247" s="15">
        <v>246</v>
      </c>
      <c r="B247" s="15" t="s">
        <v>483</v>
      </c>
      <c r="C247" s="15">
        <v>1</v>
      </c>
      <c r="D247" s="26">
        <v>1400</v>
      </c>
      <c r="E247" s="14" t="str">
        <f t="shared" si="23"/>
        <v>VA006</v>
      </c>
      <c r="F247" s="14" t="str">
        <f t="shared" si="24"/>
        <v>Ana Silva</v>
      </c>
      <c r="G247" s="14" t="str">
        <f t="shared" si="25"/>
        <v>1009</v>
      </c>
      <c r="H247" s="14" t="str">
        <f t="shared" si="26"/>
        <v>Moto G7 - Vermelho</v>
      </c>
      <c r="I247" s="14" t="str">
        <f t="shared" si="27"/>
        <v>CLR</v>
      </c>
      <c r="J247" s="14" t="str">
        <f t="shared" si="28"/>
        <v>Celular</v>
      </c>
      <c r="K247" s="14" t="str">
        <f t="shared" si="29"/>
        <v>UD09</v>
      </c>
      <c r="L247" s="14" t="str">
        <f t="shared" si="30"/>
        <v>São Paulo</v>
      </c>
    </row>
    <row r="248" spans="1:12" x14ac:dyDescent="0.25">
      <c r="A248" s="15">
        <v>247</v>
      </c>
      <c r="B248" s="15" t="s">
        <v>484</v>
      </c>
      <c r="C248" s="15">
        <v>1</v>
      </c>
      <c r="D248" s="26">
        <v>2300</v>
      </c>
      <c r="E248" s="14" t="str">
        <f t="shared" si="23"/>
        <v>VA011</v>
      </c>
      <c r="F248" s="14" t="str">
        <f t="shared" si="24"/>
        <v>Raissa Negrelli</v>
      </c>
      <c r="G248" s="14" t="str">
        <f t="shared" si="25"/>
        <v>1007</v>
      </c>
      <c r="H248" s="14" t="str">
        <f t="shared" si="26"/>
        <v>Inspiron 15 - Prata</v>
      </c>
      <c r="I248" s="14" t="str">
        <f t="shared" si="27"/>
        <v>NTB</v>
      </c>
      <c r="J248" s="14" t="str">
        <f t="shared" si="28"/>
        <v>Notebook</v>
      </c>
      <c r="K248" s="14" t="str">
        <f t="shared" si="29"/>
        <v>UD01</v>
      </c>
      <c r="L248" s="14" t="str">
        <f t="shared" si="30"/>
        <v>Rio de Janeiro</v>
      </c>
    </row>
    <row r="249" spans="1:12" x14ac:dyDescent="0.25">
      <c r="A249" s="15">
        <v>248</v>
      </c>
      <c r="B249" s="15" t="s">
        <v>485</v>
      </c>
      <c r="C249" s="15">
        <v>1</v>
      </c>
      <c r="D249" s="26">
        <v>2300</v>
      </c>
      <c r="E249" s="14" t="str">
        <f t="shared" si="23"/>
        <v>VA024</v>
      </c>
      <c r="F249" s="14" t="str">
        <f t="shared" si="24"/>
        <v>Natalia Guedes</v>
      </c>
      <c r="G249" s="14" t="str">
        <f t="shared" si="25"/>
        <v>1007</v>
      </c>
      <c r="H249" s="14" t="str">
        <f t="shared" si="26"/>
        <v>Inspiron 15 - Prata</v>
      </c>
      <c r="I249" s="14" t="str">
        <f t="shared" si="27"/>
        <v>NTB</v>
      </c>
      <c r="J249" s="14" t="str">
        <f t="shared" si="28"/>
        <v>Notebook</v>
      </c>
      <c r="K249" s="14" t="str">
        <f t="shared" si="29"/>
        <v>UD05</v>
      </c>
      <c r="L249" s="14" t="str">
        <f t="shared" si="30"/>
        <v>Fortaleza</v>
      </c>
    </row>
    <row r="250" spans="1:12" x14ac:dyDescent="0.25">
      <c r="A250" s="15">
        <v>249</v>
      </c>
      <c r="B250" s="15" t="s">
        <v>486</v>
      </c>
      <c r="C250" s="15">
        <v>1</v>
      </c>
      <c r="D250" s="26">
        <v>2000</v>
      </c>
      <c r="E250" s="14" t="str">
        <f t="shared" si="23"/>
        <v>VA048</v>
      </c>
      <c r="F250" s="14" t="str">
        <f t="shared" si="24"/>
        <v>Pedro Jorge</v>
      </c>
      <c r="G250" s="14" t="str">
        <f t="shared" si="25"/>
        <v>1011</v>
      </c>
      <c r="H250" s="14" t="str">
        <f t="shared" si="26"/>
        <v>Tablet M10 Android - Preto</v>
      </c>
      <c r="I250" s="14" t="str">
        <f t="shared" si="27"/>
        <v>TBL</v>
      </c>
      <c r="J250" s="14" t="str">
        <f t="shared" si="28"/>
        <v>Tablet</v>
      </c>
      <c r="K250" s="14" t="str">
        <f t="shared" si="29"/>
        <v>UD09</v>
      </c>
      <c r="L250" s="14" t="str">
        <f t="shared" si="30"/>
        <v>São Paulo</v>
      </c>
    </row>
  </sheetData>
  <mergeCells count="4">
    <mergeCell ref="Z1:AA1"/>
    <mergeCell ref="N1:O1"/>
    <mergeCell ref="Q1:U1"/>
    <mergeCell ref="W1:X1"/>
  </mergeCells>
  <phoneticPr fontId="8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CEF9A-9325-4E89-889C-9E56CC57107B}">
  <dimension ref="A1:XEA198"/>
  <sheetViews>
    <sheetView showGridLines="0" zoomScale="145" zoomScaleNormal="145" workbookViewId="0"/>
  </sheetViews>
  <sheetFormatPr defaultColWidth="9.140625" defaultRowHeight="12.75" x14ac:dyDescent="0.25"/>
  <cols>
    <col min="1" max="1" width="41.5703125" style="2" bestFit="1" customWidth="1"/>
    <col min="2" max="2" width="12.140625" style="2" bestFit="1" customWidth="1"/>
    <col min="3" max="16384" width="9.140625" style="2"/>
  </cols>
  <sheetData>
    <row r="1" spans="1:16355" x14ac:dyDescent="0.2">
      <c r="A1" s="1" t="s">
        <v>0</v>
      </c>
    </row>
    <row r="2" spans="1:16355" x14ac:dyDescent="0.25">
      <c r="A2" s="3" t="s">
        <v>1</v>
      </c>
    </row>
    <row r="3" spans="1:16355" ht="13.5" thickBot="1" x14ac:dyDescent="0.3">
      <c r="A3" s="3"/>
    </row>
    <row r="4" spans="1:16355" s="6" customFormat="1" ht="15.75" customHeight="1" x14ac:dyDescent="0.25">
      <c r="A4" s="4" t="s">
        <v>7</v>
      </c>
      <c r="B4" s="4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  <c r="AMJ4" s="5"/>
      <c r="AMK4" s="5"/>
      <c r="AML4" s="5"/>
      <c r="AMM4" s="5"/>
      <c r="AMN4" s="5"/>
      <c r="AMO4" s="5"/>
      <c r="AMP4" s="5"/>
      <c r="AMQ4" s="5"/>
      <c r="AMR4" s="5"/>
      <c r="AMS4" s="5"/>
      <c r="AMT4" s="5"/>
      <c r="AMU4" s="5"/>
      <c r="AMV4" s="5"/>
      <c r="AMW4" s="5"/>
      <c r="AMX4" s="5"/>
      <c r="AMY4" s="5"/>
      <c r="AMZ4" s="5"/>
      <c r="ANA4" s="5"/>
      <c r="ANB4" s="5"/>
      <c r="ANC4" s="5"/>
      <c r="AND4" s="5"/>
      <c r="ANE4" s="5"/>
      <c r="ANF4" s="5"/>
      <c r="ANG4" s="5"/>
      <c r="ANH4" s="5"/>
      <c r="ANI4" s="5"/>
      <c r="ANJ4" s="5"/>
      <c r="ANK4" s="5"/>
      <c r="ANL4" s="5"/>
      <c r="ANM4" s="5"/>
      <c r="ANN4" s="5"/>
      <c r="ANO4" s="5"/>
      <c r="ANP4" s="5"/>
      <c r="ANQ4" s="5"/>
      <c r="ANR4" s="5"/>
      <c r="ANS4" s="5"/>
      <c r="ANT4" s="5"/>
      <c r="ANU4" s="5"/>
      <c r="ANV4" s="5"/>
      <c r="ANW4" s="5"/>
      <c r="ANX4" s="5"/>
      <c r="ANY4" s="5"/>
      <c r="ANZ4" s="5"/>
      <c r="AOA4" s="5"/>
      <c r="AOB4" s="5"/>
      <c r="AOC4" s="5"/>
      <c r="AOD4" s="5"/>
      <c r="AOE4" s="5"/>
      <c r="AOF4" s="5"/>
      <c r="AOG4" s="5"/>
      <c r="AOH4" s="5"/>
      <c r="AOI4" s="5"/>
      <c r="AOJ4" s="5"/>
      <c r="AOK4" s="5"/>
      <c r="AOL4" s="5"/>
      <c r="AOM4" s="5"/>
      <c r="AON4" s="5"/>
      <c r="AOO4" s="5"/>
      <c r="AOP4" s="5"/>
      <c r="AOQ4" s="5"/>
      <c r="AOR4" s="5"/>
      <c r="AOS4" s="5"/>
      <c r="AOT4" s="5"/>
      <c r="AOU4" s="5"/>
      <c r="AOV4" s="5"/>
      <c r="AOW4" s="5"/>
      <c r="AOX4" s="5"/>
      <c r="AOY4" s="5"/>
      <c r="AOZ4" s="5"/>
      <c r="APA4" s="5"/>
      <c r="APB4" s="5"/>
      <c r="APC4" s="5"/>
      <c r="APD4" s="5"/>
      <c r="APE4" s="5"/>
      <c r="APF4" s="5"/>
      <c r="APG4" s="5"/>
      <c r="APH4" s="5"/>
      <c r="API4" s="5"/>
      <c r="APJ4" s="5"/>
      <c r="APK4" s="5"/>
      <c r="APL4" s="5"/>
      <c r="APM4" s="5"/>
      <c r="APN4" s="5"/>
      <c r="APO4" s="5"/>
      <c r="APP4" s="5"/>
      <c r="APQ4" s="5"/>
      <c r="APR4" s="5"/>
      <c r="APS4" s="5"/>
      <c r="APT4" s="5"/>
      <c r="APU4" s="5"/>
      <c r="APV4" s="5"/>
      <c r="APW4" s="5"/>
      <c r="APX4" s="5"/>
      <c r="APY4" s="5"/>
      <c r="APZ4" s="5"/>
      <c r="AQA4" s="5"/>
      <c r="AQB4" s="5"/>
      <c r="AQC4" s="5"/>
      <c r="AQD4" s="5"/>
      <c r="AQE4" s="5"/>
      <c r="AQF4" s="5"/>
      <c r="AQG4" s="5"/>
      <c r="AQH4" s="5"/>
      <c r="AQI4" s="5"/>
      <c r="AQJ4" s="5"/>
      <c r="AQK4" s="5"/>
      <c r="AQL4" s="5"/>
      <c r="AQM4" s="5"/>
      <c r="AQN4" s="5"/>
      <c r="AQO4" s="5"/>
      <c r="AQP4" s="5"/>
      <c r="AQQ4" s="5"/>
      <c r="AQR4" s="5"/>
      <c r="AQS4" s="5"/>
      <c r="AQT4" s="5"/>
      <c r="AQU4" s="5"/>
      <c r="AQV4" s="5"/>
      <c r="AQW4" s="5"/>
      <c r="AQX4" s="5"/>
      <c r="AQY4" s="5"/>
      <c r="AQZ4" s="5"/>
      <c r="ARA4" s="5"/>
      <c r="ARB4" s="5"/>
      <c r="ARC4" s="5"/>
      <c r="ARD4" s="5"/>
      <c r="ARE4" s="5"/>
      <c r="ARF4" s="5"/>
      <c r="ARG4" s="5"/>
      <c r="ARH4" s="5"/>
      <c r="ARI4" s="5"/>
      <c r="ARJ4" s="5"/>
      <c r="ARK4" s="5"/>
      <c r="ARL4" s="5"/>
      <c r="ARM4" s="5"/>
      <c r="ARN4" s="5"/>
      <c r="ARO4" s="5"/>
      <c r="ARP4" s="5"/>
      <c r="ARQ4" s="5"/>
      <c r="ARR4" s="5"/>
      <c r="ARS4" s="5"/>
      <c r="ART4" s="5"/>
      <c r="ARU4" s="5"/>
      <c r="ARV4" s="5"/>
      <c r="ARW4" s="5"/>
      <c r="ARX4" s="5"/>
      <c r="ARY4" s="5"/>
      <c r="ARZ4" s="5"/>
      <c r="ASA4" s="5"/>
      <c r="ASB4" s="5"/>
      <c r="ASC4" s="5"/>
      <c r="ASD4" s="5"/>
      <c r="ASE4" s="5"/>
      <c r="ASF4" s="5"/>
      <c r="ASG4" s="5"/>
      <c r="ASH4" s="5"/>
      <c r="ASI4" s="5"/>
      <c r="ASJ4" s="5"/>
      <c r="ASK4" s="5"/>
      <c r="ASL4" s="5"/>
      <c r="ASM4" s="5"/>
      <c r="ASN4" s="5"/>
      <c r="ASO4" s="5"/>
      <c r="ASP4" s="5"/>
      <c r="ASQ4" s="5"/>
      <c r="ASR4" s="5"/>
      <c r="ASS4" s="5"/>
      <c r="AST4" s="5"/>
      <c r="ASU4" s="5"/>
      <c r="ASV4" s="5"/>
      <c r="ASW4" s="5"/>
      <c r="ASX4" s="5"/>
      <c r="ASY4" s="5"/>
      <c r="ASZ4" s="5"/>
      <c r="ATA4" s="5"/>
      <c r="ATB4" s="5"/>
      <c r="ATC4" s="5"/>
      <c r="ATD4" s="5"/>
      <c r="ATE4" s="5"/>
      <c r="ATF4" s="5"/>
      <c r="ATG4" s="5"/>
      <c r="ATH4" s="5"/>
      <c r="ATI4" s="5"/>
      <c r="ATJ4" s="5"/>
      <c r="ATK4" s="5"/>
      <c r="ATL4" s="5"/>
      <c r="ATM4" s="5"/>
      <c r="ATN4" s="5"/>
      <c r="ATO4" s="5"/>
      <c r="ATP4" s="5"/>
      <c r="ATQ4" s="5"/>
      <c r="ATR4" s="5"/>
      <c r="ATS4" s="5"/>
      <c r="ATT4" s="5"/>
      <c r="ATU4" s="5"/>
      <c r="ATV4" s="5"/>
      <c r="ATW4" s="5"/>
      <c r="ATX4" s="5"/>
      <c r="ATY4" s="5"/>
      <c r="ATZ4" s="5"/>
      <c r="AUA4" s="5"/>
      <c r="AUB4" s="5"/>
      <c r="AUC4" s="5"/>
      <c r="AUD4" s="5"/>
      <c r="AUE4" s="5"/>
      <c r="AUF4" s="5"/>
      <c r="AUG4" s="5"/>
      <c r="AUH4" s="5"/>
      <c r="AUI4" s="5"/>
      <c r="AUJ4" s="5"/>
      <c r="AUK4" s="5"/>
      <c r="AUL4" s="5"/>
      <c r="AUM4" s="5"/>
      <c r="AUN4" s="5"/>
      <c r="AUO4" s="5"/>
      <c r="AUP4" s="5"/>
      <c r="AUQ4" s="5"/>
      <c r="AUR4" s="5"/>
      <c r="AUS4" s="5"/>
      <c r="AUT4" s="5"/>
      <c r="AUU4" s="5"/>
      <c r="AUV4" s="5"/>
      <c r="AUW4" s="5"/>
      <c r="AUX4" s="5"/>
      <c r="AUY4" s="5"/>
      <c r="AUZ4" s="5"/>
      <c r="AVA4" s="5"/>
      <c r="AVB4" s="5"/>
      <c r="AVC4" s="5"/>
      <c r="AVD4" s="5"/>
      <c r="AVE4" s="5"/>
      <c r="AVF4" s="5"/>
      <c r="AVG4" s="5"/>
      <c r="AVH4" s="5"/>
      <c r="AVI4" s="5"/>
      <c r="AVJ4" s="5"/>
      <c r="AVK4" s="5"/>
      <c r="AVL4" s="5"/>
      <c r="AVM4" s="5"/>
      <c r="AVN4" s="5"/>
      <c r="AVO4" s="5"/>
      <c r="AVP4" s="5"/>
      <c r="AVQ4" s="5"/>
      <c r="AVR4" s="5"/>
      <c r="AVS4" s="5"/>
      <c r="AVT4" s="5"/>
      <c r="AVU4" s="5"/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  <c r="AWY4" s="5"/>
      <c r="AWZ4" s="5"/>
      <c r="AXA4" s="5"/>
      <c r="AXB4" s="5"/>
      <c r="AXC4" s="5"/>
      <c r="AXD4" s="5"/>
      <c r="AXE4" s="5"/>
      <c r="AXF4" s="5"/>
      <c r="AXG4" s="5"/>
      <c r="AXH4" s="5"/>
      <c r="AXI4" s="5"/>
      <c r="AXJ4" s="5"/>
      <c r="AXK4" s="5"/>
      <c r="AXL4" s="5"/>
      <c r="AXM4" s="5"/>
      <c r="AXN4" s="5"/>
      <c r="AXO4" s="5"/>
      <c r="AXP4" s="5"/>
      <c r="AXQ4" s="5"/>
      <c r="AXR4" s="5"/>
      <c r="AXS4" s="5"/>
      <c r="AXT4" s="5"/>
      <c r="AXU4" s="5"/>
      <c r="AXV4" s="5"/>
      <c r="AXW4" s="5"/>
      <c r="AXX4" s="5"/>
      <c r="AXY4" s="5"/>
      <c r="AXZ4" s="5"/>
      <c r="AYA4" s="5"/>
      <c r="AYB4" s="5"/>
      <c r="AYC4" s="5"/>
      <c r="AYD4" s="5"/>
      <c r="AYE4" s="5"/>
      <c r="AYF4" s="5"/>
      <c r="AYG4" s="5"/>
      <c r="AYH4" s="5"/>
      <c r="AYI4" s="5"/>
      <c r="AYJ4" s="5"/>
      <c r="AYK4" s="5"/>
      <c r="AYL4" s="5"/>
      <c r="AYM4" s="5"/>
      <c r="AYN4" s="5"/>
      <c r="AYO4" s="5"/>
      <c r="AYP4" s="5"/>
      <c r="AYQ4" s="5"/>
      <c r="AYR4" s="5"/>
      <c r="AYS4" s="5"/>
      <c r="AYT4" s="5"/>
      <c r="AYU4" s="5"/>
      <c r="AYV4" s="5"/>
      <c r="AYW4" s="5"/>
      <c r="AYX4" s="5"/>
      <c r="AYY4" s="5"/>
      <c r="AYZ4" s="5"/>
      <c r="AZA4" s="5"/>
      <c r="AZB4" s="5"/>
      <c r="AZC4" s="5"/>
      <c r="AZD4" s="5"/>
      <c r="AZE4" s="5"/>
      <c r="AZF4" s="5"/>
      <c r="AZG4" s="5"/>
      <c r="AZH4" s="5"/>
      <c r="AZI4" s="5"/>
      <c r="AZJ4" s="5"/>
      <c r="AZK4" s="5"/>
      <c r="AZL4" s="5"/>
      <c r="AZM4" s="5"/>
      <c r="AZN4" s="5"/>
      <c r="AZO4" s="5"/>
      <c r="AZP4" s="5"/>
      <c r="AZQ4" s="5"/>
      <c r="AZR4" s="5"/>
      <c r="AZS4" s="5"/>
      <c r="AZT4" s="5"/>
      <c r="AZU4" s="5"/>
      <c r="AZV4" s="5"/>
      <c r="AZW4" s="5"/>
      <c r="AZX4" s="5"/>
      <c r="AZY4" s="5"/>
      <c r="AZZ4" s="5"/>
      <c r="BAA4" s="5"/>
      <c r="BAB4" s="5"/>
      <c r="BAC4" s="5"/>
      <c r="BAD4" s="5"/>
      <c r="BAE4" s="5"/>
      <c r="BAF4" s="5"/>
      <c r="BAG4" s="5"/>
      <c r="BAH4" s="5"/>
      <c r="BAI4" s="5"/>
      <c r="BAJ4" s="5"/>
      <c r="BAK4" s="5"/>
      <c r="BAL4" s="5"/>
      <c r="BAM4" s="5"/>
      <c r="BAN4" s="5"/>
      <c r="BAO4" s="5"/>
      <c r="BAP4" s="5"/>
      <c r="BAQ4" s="5"/>
      <c r="BAR4" s="5"/>
      <c r="BAS4" s="5"/>
      <c r="BAT4" s="5"/>
      <c r="BAU4" s="5"/>
      <c r="BAV4" s="5"/>
      <c r="BAW4" s="5"/>
      <c r="BAX4" s="5"/>
      <c r="BAY4" s="5"/>
      <c r="BAZ4" s="5"/>
      <c r="BBA4" s="5"/>
      <c r="BBB4" s="5"/>
      <c r="BBC4" s="5"/>
      <c r="BBD4" s="5"/>
      <c r="BBE4" s="5"/>
      <c r="BBF4" s="5"/>
      <c r="BBG4" s="5"/>
      <c r="BBH4" s="5"/>
      <c r="BBI4" s="5"/>
      <c r="BBJ4" s="5"/>
      <c r="BBK4" s="5"/>
      <c r="BBL4" s="5"/>
      <c r="BBM4" s="5"/>
      <c r="BBN4" s="5"/>
      <c r="BBO4" s="5"/>
      <c r="BBP4" s="5"/>
      <c r="BBQ4" s="5"/>
      <c r="BBR4" s="5"/>
      <c r="BBS4" s="5"/>
      <c r="BBT4" s="5"/>
      <c r="BBU4" s="5"/>
      <c r="BBV4" s="5"/>
      <c r="BBW4" s="5"/>
      <c r="BBX4" s="5"/>
      <c r="BBY4" s="5"/>
      <c r="BBZ4" s="5"/>
      <c r="BCA4" s="5"/>
      <c r="BCB4" s="5"/>
      <c r="BCC4" s="5"/>
      <c r="BCD4" s="5"/>
      <c r="BCE4" s="5"/>
      <c r="BCF4" s="5"/>
      <c r="BCG4" s="5"/>
      <c r="BCH4" s="5"/>
      <c r="BCI4" s="5"/>
      <c r="BCJ4" s="5"/>
      <c r="BCK4" s="5"/>
      <c r="BCL4" s="5"/>
      <c r="BCM4" s="5"/>
      <c r="BCN4" s="5"/>
      <c r="BCO4" s="5"/>
      <c r="BCP4" s="5"/>
      <c r="BCQ4" s="5"/>
      <c r="BCR4" s="5"/>
      <c r="BCS4" s="5"/>
      <c r="BCT4" s="5"/>
      <c r="BCU4" s="5"/>
      <c r="BCV4" s="5"/>
      <c r="BCW4" s="5"/>
      <c r="BCX4" s="5"/>
      <c r="BCY4" s="5"/>
      <c r="BCZ4" s="5"/>
      <c r="BDA4" s="5"/>
      <c r="BDB4" s="5"/>
      <c r="BDC4" s="5"/>
      <c r="BDD4" s="5"/>
      <c r="BDE4" s="5"/>
      <c r="BDF4" s="5"/>
      <c r="BDG4" s="5"/>
      <c r="BDH4" s="5"/>
      <c r="BDI4" s="5"/>
      <c r="BDJ4" s="5"/>
      <c r="BDK4" s="5"/>
      <c r="BDL4" s="5"/>
      <c r="BDM4" s="5"/>
      <c r="BDN4" s="5"/>
      <c r="BDO4" s="5"/>
      <c r="BDP4" s="5"/>
      <c r="BDQ4" s="5"/>
      <c r="BDR4" s="5"/>
      <c r="BDS4" s="5"/>
      <c r="BDT4" s="5"/>
      <c r="BDU4" s="5"/>
      <c r="BDV4" s="5"/>
      <c r="BDW4" s="5"/>
      <c r="BDX4" s="5"/>
      <c r="BDY4" s="5"/>
      <c r="BDZ4" s="5"/>
      <c r="BEA4" s="5"/>
      <c r="BEB4" s="5"/>
      <c r="BEC4" s="5"/>
      <c r="BED4" s="5"/>
      <c r="BEE4" s="5"/>
      <c r="BEF4" s="5"/>
      <c r="BEG4" s="5"/>
      <c r="BEH4" s="5"/>
      <c r="BEI4" s="5"/>
      <c r="BEJ4" s="5"/>
      <c r="BEK4" s="5"/>
      <c r="BEL4" s="5"/>
      <c r="BEM4" s="5"/>
      <c r="BEN4" s="5"/>
      <c r="BEO4" s="5"/>
      <c r="BEP4" s="5"/>
      <c r="BEQ4" s="5"/>
      <c r="BER4" s="5"/>
      <c r="BES4" s="5"/>
      <c r="BET4" s="5"/>
      <c r="BEU4" s="5"/>
      <c r="BEV4" s="5"/>
      <c r="BEW4" s="5"/>
      <c r="BEX4" s="5"/>
      <c r="BEY4" s="5"/>
      <c r="BEZ4" s="5"/>
      <c r="BFA4" s="5"/>
      <c r="BFB4" s="5"/>
      <c r="BFC4" s="5"/>
      <c r="BFD4" s="5"/>
      <c r="BFE4" s="5"/>
      <c r="BFF4" s="5"/>
      <c r="BFG4" s="5"/>
      <c r="BFH4" s="5"/>
      <c r="BFI4" s="5"/>
      <c r="BFJ4" s="5"/>
      <c r="BFK4" s="5"/>
      <c r="BFL4" s="5"/>
      <c r="BFM4" s="5"/>
      <c r="BFN4" s="5"/>
      <c r="BFO4" s="5"/>
      <c r="BFP4" s="5"/>
      <c r="BFQ4" s="5"/>
      <c r="BFR4" s="5"/>
      <c r="BFS4" s="5"/>
      <c r="BFT4" s="5"/>
      <c r="BFU4" s="5"/>
      <c r="BFV4" s="5"/>
      <c r="BFW4" s="5"/>
      <c r="BFX4" s="5"/>
      <c r="BFY4" s="5"/>
      <c r="BFZ4" s="5"/>
      <c r="BGA4" s="5"/>
      <c r="BGB4" s="5"/>
      <c r="BGC4" s="5"/>
      <c r="BGD4" s="5"/>
      <c r="BGE4" s="5"/>
      <c r="BGF4" s="5"/>
      <c r="BGG4" s="5"/>
      <c r="BGH4" s="5"/>
      <c r="BGI4" s="5"/>
      <c r="BGJ4" s="5"/>
      <c r="BGK4" s="5"/>
      <c r="BGL4" s="5"/>
      <c r="BGM4" s="5"/>
      <c r="BGN4" s="5"/>
      <c r="BGO4" s="5"/>
      <c r="BGP4" s="5"/>
      <c r="BGQ4" s="5"/>
      <c r="BGR4" s="5"/>
      <c r="BGS4" s="5"/>
      <c r="BGT4" s="5"/>
      <c r="BGU4" s="5"/>
      <c r="BGV4" s="5"/>
      <c r="BGW4" s="5"/>
      <c r="BGX4" s="5"/>
      <c r="BGY4" s="5"/>
      <c r="BGZ4" s="5"/>
      <c r="BHA4" s="5"/>
      <c r="BHB4" s="5"/>
      <c r="BHC4" s="5"/>
      <c r="BHD4" s="5"/>
      <c r="BHE4" s="5"/>
      <c r="BHF4" s="5"/>
      <c r="BHG4" s="5"/>
      <c r="BHH4" s="5"/>
      <c r="BHI4" s="5"/>
      <c r="BHJ4" s="5"/>
      <c r="BHK4" s="5"/>
      <c r="BHL4" s="5"/>
      <c r="BHM4" s="5"/>
      <c r="BHN4" s="5"/>
      <c r="BHO4" s="5"/>
      <c r="BHP4" s="5"/>
      <c r="BHQ4" s="5"/>
      <c r="BHR4" s="5"/>
      <c r="BHS4" s="5"/>
      <c r="BHT4" s="5"/>
      <c r="BHU4" s="5"/>
      <c r="BHV4" s="5"/>
      <c r="BHW4" s="5"/>
      <c r="BHX4" s="5"/>
      <c r="BHY4" s="5"/>
      <c r="BHZ4" s="5"/>
      <c r="BIA4" s="5"/>
      <c r="BIB4" s="5"/>
      <c r="BIC4" s="5"/>
      <c r="BID4" s="5"/>
      <c r="BIE4" s="5"/>
      <c r="BIF4" s="5"/>
      <c r="BIG4" s="5"/>
      <c r="BIH4" s="5"/>
      <c r="BII4" s="5"/>
      <c r="BIJ4" s="5"/>
      <c r="BIK4" s="5"/>
      <c r="BIL4" s="5"/>
      <c r="BIM4" s="5"/>
      <c r="BIN4" s="5"/>
      <c r="BIO4" s="5"/>
      <c r="BIP4" s="5"/>
      <c r="BIQ4" s="5"/>
      <c r="BIR4" s="5"/>
      <c r="BIS4" s="5"/>
      <c r="BIT4" s="5"/>
      <c r="BIU4" s="5"/>
      <c r="BIV4" s="5"/>
      <c r="BIW4" s="5"/>
      <c r="BIX4" s="5"/>
      <c r="BIY4" s="5"/>
      <c r="BIZ4" s="5"/>
      <c r="BJA4" s="5"/>
      <c r="BJB4" s="5"/>
      <c r="BJC4" s="5"/>
      <c r="BJD4" s="5"/>
      <c r="BJE4" s="5"/>
      <c r="BJF4" s="5"/>
      <c r="BJG4" s="5"/>
      <c r="BJH4" s="5"/>
      <c r="BJI4" s="5"/>
      <c r="BJJ4" s="5"/>
      <c r="BJK4" s="5"/>
      <c r="BJL4" s="5"/>
      <c r="BJM4" s="5"/>
      <c r="BJN4" s="5"/>
      <c r="BJO4" s="5"/>
      <c r="BJP4" s="5"/>
      <c r="BJQ4" s="5"/>
      <c r="BJR4" s="5"/>
      <c r="BJS4" s="5"/>
      <c r="BJT4" s="5"/>
      <c r="BJU4" s="5"/>
      <c r="BJV4" s="5"/>
      <c r="BJW4" s="5"/>
      <c r="BJX4" s="5"/>
      <c r="BJY4" s="5"/>
      <c r="BJZ4" s="5"/>
      <c r="BKA4" s="5"/>
      <c r="BKB4" s="5"/>
      <c r="BKC4" s="5"/>
      <c r="BKD4" s="5"/>
      <c r="BKE4" s="5"/>
      <c r="BKF4" s="5"/>
      <c r="BKG4" s="5"/>
      <c r="BKH4" s="5"/>
      <c r="BKI4" s="5"/>
      <c r="BKJ4" s="5"/>
      <c r="BKK4" s="5"/>
      <c r="BKL4" s="5"/>
      <c r="BKM4" s="5"/>
      <c r="BKN4" s="5"/>
      <c r="BKO4" s="5"/>
      <c r="BKP4" s="5"/>
      <c r="BKQ4" s="5"/>
      <c r="BKR4" s="5"/>
      <c r="BKS4" s="5"/>
      <c r="BKT4" s="5"/>
      <c r="BKU4" s="5"/>
      <c r="BKV4" s="5"/>
      <c r="BKW4" s="5"/>
      <c r="BKX4" s="5"/>
      <c r="BKY4" s="5"/>
      <c r="BKZ4" s="5"/>
      <c r="BLA4" s="5"/>
      <c r="BLB4" s="5"/>
      <c r="BLC4" s="5"/>
      <c r="BLD4" s="5"/>
      <c r="BLE4" s="5"/>
      <c r="BLF4" s="5"/>
      <c r="BLG4" s="5"/>
      <c r="BLH4" s="5"/>
      <c r="BLI4" s="5"/>
      <c r="BLJ4" s="5"/>
      <c r="BLK4" s="5"/>
      <c r="BLL4" s="5"/>
      <c r="BLM4" s="5"/>
      <c r="BLN4" s="5"/>
      <c r="BLO4" s="5"/>
      <c r="BLP4" s="5"/>
      <c r="BLQ4" s="5"/>
      <c r="BLR4" s="5"/>
      <c r="BLS4" s="5"/>
      <c r="BLT4" s="5"/>
      <c r="BLU4" s="5"/>
      <c r="BLV4" s="5"/>
      <c r="BLW4" s="5"/>
      <c r="BLX4" s="5"/>
      <c r="BLY4" s="5"/>
      <c r="BLZ4" s="5"/>
      <c r="BMA4" s="5"/>
      <c r="BMB4" s="5"/>
      <c r="BMC4" s="5"/>
      <c r="BMD4" s="5"/>
      <c r="BME4" s="5"/>
      <c r="BMF4" s="5"/>
      <c r="BMG4" s="5"/>
      <c r="BMH4" s="5"/>
      <c r="BMI4" s="5"/>
      <c r="BMJ4" s="5"/>
      <c r="BMK4" s="5"/>
      <c r="BML4" s="5"/>
      <c r="BMM4" s="5"/>
      <c r="BMN4" s="5"/>
      <c r="BMO4" s="5"/>
      <c r="BMP4" s="5"/>
      <c r="BMQ4" s="5"/>
      <c r="BMR4" s="5"/>
      <c r="BMS4" s="5"/>
      <c r="BMT4" s="5"/>
      <c r="BMU4" s="5"/>
      <c r="BMV4" s="5"/>
      <c r="BMW4" s="5"/>
      <c r="BMX4" s="5"/>
      <c r="BMY4" s="5"/>
      <c r="BMZ4" s="5"/>
      <c r="BNA4" s="5"/>
      <c r="BNB4" s="5"/>
      <c r="BNC4" s="5"/>
      <c r="BND4" s="5"/>
      <c r="BNE4" s="5"/>
      <c r="BNF4" s="5"/>
      <c r="BNG4" s="5"/>
      <c r="BNH4" s="5"/>
      <c r="BNI4" s="5"/>
      <c r="BNJ4" s="5"/>
      <c r="BNK4" s="5"/>
      <c r="BNL4" s="5"/>
      <c r="BNM4" s="5"/>
      <c r="BNN4" s="5"/>
      <c r="BNO4" s="5"/>
      <c r="BNP4" s="5"/>
      <c r="BNQ4" s="5"/>
      <c r="BNR4" s="5"/>
      <c r="BNS4" s="5"/>
      <c r="BNT4" s="5"/>
      <c r="BNU4" s="5"/>
      <c r="BNV4" s="5"/>
      <c r="BNW4" s="5"/>
      <c r="BNX4" s="5"/>
      <c r="BNY4" s="5"/>
      <c r="BNZ4" s="5"/>
      <c r="BOA4" s="5"/>
      <c r="BOB4" s="5"/>
      <c r="BOC4" s="5"/>
      <c r="BOD4" s="5"/>
      <c r="BOE4" s="5"/>
      <c r="BOF4" s="5"/>
      <c r="BOG4" s="5"/>
      <c r="BOH4" s="5"/>
      <c r="BOI4" s="5"/>
      <c r="BOJ4" s="5"/>
      <c r="BOK4" s="5"/>
      <c r="BOL4" s="5"/>
      <c r="BOM4" s="5"/>
      <c r="BON4" s="5"/>
      <c r="BOO4" s="5"/>
      <c r="BOP4" s="5"/>
      <c r="BOQ4" s="5"/>
      <c r="BOR4" s="5"/>
      <c r="BOS4" s="5"/>
      <c r="BOT4" s="5"/>
      <c r="BOU4" s="5"/>
      <c r="BOV4" s="5"/>
      <c r="BOW4" s="5"/>
      <c r="BOX4" s="5"/>
      <c r="BOY4" s="5"/>
      <c r="BOZ4" s="5"/>
      <c r="BPA4" s="5"/>
      <c r="BPB4" s="5"/>
      <c r="BPC4" s="5"/>
      <c r="BPD4" s="5"/>
      <c r="BPE4" s="5"/>
      <c r="BPF4" s="5"/>
      <c r="BPG4" s="5"/>
      <c r="BPH4" s="5"/>
      <c r="BPI4" s="5"/>
      <c r="BPJ4" s="5"/>
      <c r="BPK4" s="5"/>
      <c r="BPL4" s="5"/>
      <c r="BPM4" s="5"/>
      <c r="BPN4" s="5"/>
      <c r="BPO4" s="5"/>
      <c r="BPP4" s="5"/>
      <c r="BPQ4" s="5"/>
      <c r="BPR4" s="5"/>
      <c r="BPS4" s="5"/>
      <c r="BPT4" s="5"/>
      <c r="BPU4" s="5"/>
      <c r="BPV4" s="5"/>
      <c r="BPW4" s="5"/>
      <c r="BPX4" s="5"/>
      <c r="BPY4" s="5"/>
      <c r="BPZ4" s="5"/>
      <c r="BQA4" s="5"/>
      <c r="BQB4" s="5"/>
      <c r="BQC4" s="5"/>
      <c r="BQD4" s="5"/>
      <c r="BQE4" s="5"/>
      <c r="BQF4" s="5"/>
      <c r="BQG4" s="5"/>
      <c r="BQH4" s="5"/>
      <c r="BQI4" s="5"/>
      <c r="BQJ4" s="5"/>
      <c r="BQK4" s="5"/>
      <c r="BQL4" s="5"/>
      <c r="BQM4" s="5"/>
      <c r="BQN4" s="5"/>
      <c r="BQO4" s="5"/>
      <c r="BQP4" s="5"/>
      <c r="BQQ4" s="5"/>
      <c r="BQR4" s="5"/>
      <c r="BQS4" s="5"/>
      <c r="BQT4" s="5"/>
      <c r="BQU4" s="5"/>
      <c r="BQV4" s="5"/>
      <c r="BQW4" s="5"/>
      <c r="BQX4" s="5"/>
      <c r="BQY4" s="5"/>
      <c r="BQZ4" s="5"/>
      <c r="BRA4" s="5"/>
      <c r="BRB4" s="5"/>
      <c r="BRC4" s="5"/>
      <c r="BRD4" s="5"/>
      <c r="BRE4" s="5"/>
      <c r="BRF4" s="5"/>
      <c r="BRG4" s="5"/>
      <c r="BRH4" s="5"/>
      <c r="BRI4" s="5"/>
      <c r="BRJ4" s="5"/>
      <c r="BRK4" s="5"/>
      <c r="BRL4" s="5"/>
      <c r="BRM4" s="5"/>
      <c r="BRN4" s="5"/>
      <c r="BRO4" s="5"/>
      <c r="BRP4" s="5"/>
      <c r="BRQ4" s="5"/>
      <c r="BRR4" s="5"/>
      <c r="BRS4" s="5"/>
      <c r="BRT4" s="5"/>
      <c r="BRU4" s="5"/>
      <c r="BRV4" s="5"/>
      <c r="BRW4" s="5"/>
      <c r="BRX4" s="5"/>
      <c r="BRY4" s="5"/>
      <c r="BRZ4" s="5"/>
      <c r="BSA4" s="5"/>
      <c r="BSB4" s="5"/>
      <c r="BSC4" s="5"/>
      <c r="BSD4" s="5"/>
      <c r="BSE4" s="5"/>
      <c r="BSF4" s="5"/>
      <c r="BSG4" s="5"/>
      <c r="BSH4" s="5"/>
      <c r="BSI4" s="5"/>
      <c r="BSJ4" s="5"/>
      <c r="BSK4" s="5"/>
      <c r="BSL4" s="5"/>
      <c r="BSM4" s="5"/>
      <c r="BSN4" s="5"/>
      <c r="BSO4" s="5"/>
      <c r="BSP4" s="5"/>
      <c r="BSQ4" s="5"/>
      <c r="BSR4" s="5"/>
      <c r="BSS4" s="5"/>
      <c r="BST4" s="5"/>
      <c r="BSU4" s="5"/>
      <c r="BSV4" s="5"/>
      <c r="BSW4" s="5"/>
      <c r="BSX4" s="5"/>
      <c r="BSY4" s="5"/>
      <c r="BSZ4" s="5"/>
      <c r="BTA4" s="5"/>
      <c r="BTB4" s="5"/>
      <c r="BTC4" s="5"/>
      <c r="BTD4" s="5"/>
      <c r="BTE4" s="5"/>
      <c r="BTF4" s="5"/>
      <c r="BTG4" s="5"/>
      <c r="BTH4" s="5"/>
      <c r="BTI4" s="5"/>
      <c r="BTJ4" s="5"/>
      <c r="BTK4" s="5"/>
      <c r="BTL4" s="5"/>
      <c r="BTM4" s="5"/>
      <c r="BTN4" s="5"/>
      <c r="BTO4" s="5"/>
      <c r="BTP4" s="5"/>
      <c r="BTQ4" s="5"/>
      <c r="BTR4" s="5"/>
      <c r="BTS4" s="5"/>
      <c r="BTT4" s="5"/>
      <c r="BTU4" s="5"/>
      <c r="BTV4" s="5"/>
      <c r="BTW4" s="5"/>
      <c r="BTX4" s="5"/>
      <c r="BTY4" s="5"/>
      <c r="BTZ4" s="5"/>
      <c r="BUA4" s="5"/>
      <c r="BUB4" s="5"/>
      <c r="BUC4" s="5"/>
      <c r="BUD4" s="5"/>
      <c r="BUE4" s="5"/>
      <c r="BUF4" s="5"/>
      <c r="BUG4" s="5"/>
      <c r="BUH4" s="5"/>
      <c r="BUI4" s="5"/>
      <c r="BUJ4" s="5"/>
      <c r="BUK4" s="5"/>
      <c r="BUL4" s="5"/>
      <c r="BUM4" s="5"/>
      <c r="BUN4" s="5"/>
      <c r="BUO4" s="5"/>
      <c r="BUP4" s="5"/>
      <c r="BUQ4" s="5"/>
      <c r="BUR4" s="5"/>
      <c r="BUS4" s="5"/>
      <c r="BUT4" s="5"/>
      <c r="BUU4" s="5"/>
      <c r="BUV4" s="5"/>
      <c r="BUW4" s="5"/>
      <c r="BUX4" s="5"/>
      <c r="BUY4" s="5"/>
      <c r="BUZ4" s="5"/>
      <c r="BVA4" s="5"/>
      <c r="BVB4" s="5"/>
      <c r="BVC4" s="5"/>
      <c r="BVD4" s="5"/>
      <c r="BVE4" s="5"/>
      <c r="BVF4" s="5"/>
      <c r="BVG4" s="5"/>
      <c r="BVH4" s="5"/>
      <c r="BVI4" s="5"/>
      <c r="BVJ4" s="5"/>
      <c r="BVK4" s="5"/>
      <c r="BVL4" s="5"/>
      <c r="BVM4" s="5"/>
      <c r="BVN4" s="5"/>
      <c r="BVO4" s="5"/>
      <c r="BVP4" s="5"/>
      <c r="BVQ4" s="5"/>
      <c r="BVR4" s="5"/>
      <c r="BVS4" s="5"/>
      <c r="BVT4" s="5"/>
      <c r="BVU4" s="5"/>
      <c r="BVV4" s="5"/>
      <c r="BVW4" s="5"/>
      <c r="BVX4" s="5"/>
      <c r="BVY4" s="5"/>
      <c r="BVZ4" s="5"/>
      <c r="BWA4" s="5"/>
      <c r="BWB4" s="5"/>
      <c r="BWC4" s="5"/>
      <c r="BWD4" s="5"/>
      <c r="BWE4" s="5"/>
      <c r="BWF4" s="5"/>
      <c r="BWG4" s="5"/>
      <c r="BWH4" s="5"/>
      <c r="BWI4" s="5"/>
      <c r="BWJ4" s="5"/>
      <c r="BWK4" s="5"/>
      <c r="BWL4" s="5"/>
      <c r="BWM4" s="5"/>
      <c r="BWN4" s="5"/>
      <c r="BWO4" s="5"/>
      <c r="BWP4" s="5"/>
      <c r="BWQ4" s="5"/>
      <c r="BWR4" s="5"/>
      <c r="BWS4" s="5"/>
      <c r="BWT4" s="5"/>
      <c r="BWU4" s="5"/>
      <c r="BWV4" s="5"/>
      <c r="BWW4" s="5"/>
      <c r="BWX4" s="5"/>
      <c r="BWY4" s="5"/>
      <c r="BWZ4" s="5"/>
      <c r="BXA4" s="5"/>
      <c r="BXB4" s="5"/>
      <c r="BXC4" s="5"/>
      <c r="BXD4" s="5"/>
      <c r="BXE4" s="5"/>
      <c r="BXF4" s="5"/>
      <c r="BXG4" s="5"/>
      <c r="BXH4" s="5"/>
      <c r="BXI4" s="5"/>
      <c r="BXJ4" s="5"/>
      <c r="BXK4" s="5"/>
      <c r="BXL4" s="5"/>
      <c r="BXM4" s="5"/>
      <c r="BXN4" s="5"/>
      <c r="BXO4" s="5"/>
      <c r="BXP4" s="5"/>
      <c r="BXQ4" s="5"/>
      <c r="BXR4" s="5"/>
      <c r="BXS4" s="5"/>
      <c r="BXT4" s="5"/>
      <c r="BXU4" s="5"/>
      <c r="BXV4" s="5"/>
      <c r="BXW4" s="5"/>
      <c r="BXX4" s="5"/>
      <c r="BXY4" s="5"/>
      <c r="BXZ4" s="5"/>
      <c r="BYA4" s="5"/>
      <c r="BYB4" s="5"/>
      <c r="BYC4" s="5"/>
      <c r="BYD4" s="5"/>
      <c r="BYE4" s="5"/>
      <c r="BYF4" s="5"/>
      <c r="BYG4" s="5"/>
      <c r="BYH4" s="5"/>
      <c r="BYI4" s="5"/>
      <c r="BYJ4" s="5"/>
      <c r="BYK4" s="5"/>
      <c r="BYL4" s="5"/>
      <c r="BYM4" s="5"/>
      <c r="BYN4" s="5"/>
      <c r="BYO4" s="5"/>
      <c r="BYP4" s="5"/>
      <c r="BYQ4" s="5"/>
      <c r="BYR4" s="5"/>
      <c r="BYS4" s="5"/>
      <c r="BYT4" s="5"/>
      <c r="BYU4" s="5"/>
      <c r="BYV4" s="5"/>
      <c r="BYW4" s="5"/>
      <c r="BYX4" s="5"/>
      <c r="BYY4" s="5"/>
      <c r="BYZ4" s="5"/>
      <c r="BZA4" s="5"/>
      <c r="BZB4" s="5"/>
      <c r="BZC4" s="5"/>
      <c r="BZD4" s="5"/>
      <c r="BZE4" s="5"/>
      <c r="BZF4" s="5"/>
      <c r="BZG4" s="5"/>
      <c r="BZH4" s="5"/>
      <c r="BZI4" s="5"/>
      <c r="BZJ4" s="5"/>
      <c r="BZK4" s="5"/>
      <c r="BZL4" s="5"/>
      <c r="BZM4" s="5"/>
      <c r="BZN4" s="5"/>
      <c r="BZO4" s="5"/>
      <c r="BZP4" s="5"/>
      <c r="BZQ4" s="5"/>
      <c r="BZR4" s="5"/>
      <c r="BZS4" s="5"/>
      <c r="BZT4" s="5"/>
      <c r="BZU4" s="5"/>
      <c r="BZV4" s="5"/>
      <c r="BZW4" s="5"/>
      <c r="BZX4" s="5"/>
      <c r="BZY4" s="5"/>
      <c r="BZZ4" s="5"/>
      <c r="CAA4" s="5"/>
      <c r="CAB4" s="5"/>
      <c r="CAC4" s="5"/>
      <c r="CAD4" s="5"/>
      <c r="CAE4" s="5"/>
      <c r="CAF4" s="5"/>
      <c r="CAG4" s="5"/>
      <c r="CAH4" s="5"/>
      <c r="CAI4" s="5"/>
      <c r="CAJ4" s="5"/>
      <c r="CAK4" s="5"/>
      <c r="CAL4" s="5"/>
      <c r="CAM4" s="5"/>
      <c r="CAN4" s="5"/>
      <c r="CAO4" s="5"/>
      <c r="CAP4" s="5"/>
      <c r="CAQ4" s="5"/>
      <c r="CAR4" s="5"/>
      <c r="CAS4" s="5"/>
      <c r="CAT4" s="5"/>
      <c r="CAU4" s="5"/>
      <c r="CAV4" s="5"/>
      <c r="CAW4" s="5"/>
      <c r="CAX4" s="5"/>
      <c r="CAY4" s="5"/>
      <c r="CAZ4" s="5"/>
      <c r="CBA4" s="5"/>
      <c r="CBB4" s="5"/>
      <c r="CBC4" s="5"/>
      <c r="CBD4" s="5"/>
      <c r="CBE4" s="5"/>
      <c r="CBF4" s="5"/>
      <c r="CBG4" s="5"/>
      <c r="CBH4" s="5"/>
      <c r="CBI4" s="5"/>
      <c r="CBJ4" s="5"/>
      <c r="CBK4" s="5"/>
      <c r="CBL4" s="5"/>
      <c r="CBM4" s="5"/>
      <c r="CBN4" s="5"/>
      <c r="CBO4" s="5"/>
      <c r="CBP4" s="5"/>
      <c r="CBQ4" s="5"/>
      <c r="CBR4" s="5"/>
      <c r="CBS4" s="5"/>
      <c r="CBT4" s="5"/>
      <c r="CBU4" s="5"/>
      <c r="CBV4" s="5"/>
      <c r="CBW4" s="5"/>
      <c r="CBX4" s="5"/>
      <c r="CBY4" s="5"/>
      <c r="CBZ4" s="5"/>
      <c r="CCA4" s="5"/>
      <c r="CCB4" s="5"/>
      <c r="CCC4" s="5"/>
      <c r="CCD4" s="5"/>
      <c r="CCE4" s="5"/>
      <c r="CCF4" s="5"/>
      <c r="CCG4" s="5"/>
      <c r="CCH4" s="5"/>
      <c r="CCI4" s="5"/>
      <c r="CCJ4" s="5"/>
      <c r="CCK4" s="5"/>
      <c r="CCL4" s="5"/>
      <c r="CCM4" s="5"/>
      <c r="CCN4" s="5"/>
      <c r="CCO4" s="5"/>
      <c r="CCP4" s="5"/>
      <c r="CCQ4" s="5"/>
      <c r="CCR4" s="5"/>
      <c r="CCS4" s="5"/>
      <c r="CCT4" s="5"/>
      <c r="CCU4" s="5"/>
      <c r="CCV4" s="5"/>
      <c r="CCW4" s="5"/>
      <c r="CCX4" s="5"/>
      <c r="CCY4" s="5"/>
      <c r="CCZ4" s="5"/>
      <c r="CDA4" s="5"/>
      <c r="CDB4" s="5"/>
      <c r="CDC4" s="5"/>
      <c r="CDD4" s="5"/>
      <c r="CDE4" s="5"/>
      <c r="CDF4" s="5"/>
      <c r="CDG4" s="5"/>
      <c r="CDH4" s="5"/>
      <c r="CDI4" s="5"/>
      <c r="CDJ4" s="5"/>
      <c r="CDK4" s="5"/>
      <c r="CDL4" s="5"/>
      <c r="CDM4" s="5"/>
      <c r="CDN4" s="5"/>
      <c r="CDO4" s="5"/>
      <c r="CDP4" s="5"/>
      <c r="CDQ4" s="5"/>
      <c r="CDR4" s="5"/>
      <c r="CDS4" s="5"/>
      <c r="CDT4" s="5"/>
      <c r="CDU4" s="5"/>
      <c r="CDV4" s="5"/>
      <c r="CDW4" s="5"/>
      <c r="CDX4" s="5"/>
      <c r="CDY4" s="5"/>
      <c r="CDZ4" s="5"/>
      <c r="CEA4" s="5"/>
      <c r="CEB4" s="5"/>
      <c r="CEC4" s="5"/>
      <c r="CED4" s="5"/>
      <c r="CEE4" s="5"/>
      <c r="CEF4" s="5"/>
      <c r="CEG4" s="5"/>
      <c r="CEH4" s="5"/>
      <c r="CEI4" s="5"/>
      <c r="CEJ4" s="5"/>
      <c r="CEK4" s="5"/>
      <c r="CEL4" s="5"/>
      <c r="CEM4" s="5"/>
      <c r="CEN4" s="5"/>
      <c r="CEO4" s="5"/>
      <c r="CEP4" s="5"/>
      <c r="CEQ4" s="5"/>
      <c r="CER4" s="5"/>
      <c r="CES4" s="5"/>
      <c r="CET4" s="5"/>
      <c r="CEU4" s="5"/>
      <c r="CEV4" s="5"/>
      <c r="CEW4" s="5"/>
      <c r="CEX4" s="5"/>
      <c r="CEY4" s="5"/>
      <c r="CEZ4" s="5"/>
      <c r="CFA4" s="5"/>
      <c r="CFB4" s="5"/>
      <c r="CFC4" s="5"/>
      <c r="CFD4" s="5"/>
      <c r="CFE4" s="5"/>
      <c r="CFF4" s="5"/>
      <c r="CFG4" s="5"/>
      <c r="CFH4" s="5"/>
      <c r="CFI4" s="5"/>
      <c r="CFJ4" s="5"/>
      <c r="CFK4" s="5"/>
      <c r="CFL4" s="5"/>
      <c r="CFM4" s="5"/>
      <c r="CFN4" s="5"/>
      <c r="CFO4" s="5"/>
      <c r="CFP4" s="5"/>
      <c r="CFQ4" s="5"/>
      <c r="CFR4" s="5"/>
      <c r="CFS4" s="5"/>
      <c r="CFT4" s="5"/>
      <c r="CFU4" s="5"/>
      <c r="CFV4" s="5"/>
      <c r="CFW4" s="5"/>
      <c r="CFX4" s="5"/>
      <c r="CFY4" s="5"/>
      <c r="CFZ4" s="5"/>
      <c r="CGA4" s="5"/>
      <c r="CGB4" s="5"/>
      <c r="CGC4" s="5"/>
      <c r="CGD4" s="5"/>
      <c r="CGE4" s="5"/>
      <c r="CGF4" s="5"/>
      <c r="CGG4" s="5"/>
      <c r="CGH4" s="5"/>
      <c r="CGI4" s="5"/>
      <c r="CGJ4" s="5"/>
      <c r="CGK4" s="5"/>
      <c r="CGL4" s="5"/>
      <c r="CGM4" s="5"/>
      <c r="CGN4" s="5"/>
      <c r="CGO4" s="5"/>
      <c r="CGP4" s="5"/>
      <c r="CGQ4" s="5"/>
      <c r="CGR4" s="5"/>
      <c r="CGS4" s="5"/>
      <c r="CGT4" s="5"/>
      <c r="CGU4" s="5"/>
      <c r="CGV4" s="5"/>
      <c r="CGW4" s="5"/>
      <c r="CGX4" s="5"/>
      <c r="CGY4" s="5"/>
      <c r="CGZ4" s="5"/>
      <c r="CHA4" s="5"/>
      <c r="CHB4" s="5"/>
      <c r="CHC4" s="5"/>
      <c r="CHD4" s="5"/>
      <c r="CHE4" s="5"/>
      <c r="CHF4" s="5"/>
      <c r="CHG4" s="5"/>
      <c r="CHH4" s="5"/>
      <c r="CHI4" s="5"/>
      <c r="CHJ4" s="5"/>
      <c r="CHK4" s="5"/>
      <c r="CHL4" s="5"/>
      <c r="CHM4" s="5"/>
      <c r="CHN4" s="5"/>
      <c r="CHO4" s="5"/>
      <c r="CHP4" s="5"/>
      <c r="CHQ4" s="5"/>
      <c r="CHR4" s="5"/>
      <c r="CHS4" s="5"/>
      <c r="CHT4" s="5"/>
      <c r="CHU4" s="5"/>
      <c r="CHV4" s="5"/>
      <c r="CHW4" s="5"/>
      <c r="CHX4" s="5"/>
      <c r="CHY4" s="5"/>
      <c r="CHZ4" s="5"/>
      <c r="CIA4" s="5"/>
      <c r="CIB4" s="5"/>
      <c r="CIC4" s="5"/>
      <c r="CID4" s="5"/>
      <c r="CIE4" s="5"/>
      <c r="CIF4" s="5"/>
      <c r="CIG4" s="5"/>
      <c r="CIH4" s="5"/>
      <c r="CII4" s="5"/>
      <c r="CIJ4" s="5"/>
      <c r="CIK4" s="5"/>
      <c r="CIL4" s="5"/>
      <c r="CIM4" s="5"/>
      <c r="CIN4" s="5"/>
      <c r="CIO4" s="5"/>
      <c r="CIP4" s="5"/>
      <c r="CIQ4" s="5"/>
      <c r="CIR4" s="5"/>
      <c r="CIS4" s="5"/>
      <c r="CIT4" s="5"/>
      <c r="CIU4" s="5"/>
      <c r="CIV4" s="5"/>
      <c r="CIW4" s="5"/>
      <c r="CIX4" s="5"/>
      <c r="CIY4" s="5"/>
      <c r="CIZ4" s="5"/>
      <c r="CJA4" s="5"/>
      <c r="CJB4" s="5"/>
      <c r="CJC4" s="5"/>
      <c r="CJD4" s="5"/>
      <c r="CJE4" s="5"/>
      <c r="CJF4" s="5"/>
      <c r="CJG4" s="5"/>
      <c r="CJH4" s="5"/>
      <c r="CJI4" s="5"/>
      <c r="CJJ4" s="5"/>
      <c r="CJK4" s="5"/>
      <c r="CJL4" s="5"/>
      <c r="CJM4" s="5"/>
      <c r="CJN4" s="5"/>
      <c r="CJO4" s="5"/>
      <c r="CJP4" s="5"/>
      <c r="CJQ4" s="5"/>
      <c r="CJR4" s="5"/>
      <c r="CJS4" s="5"/>
      <c r="CJT4" s="5"/>
      <c r="CJU4" s="5"/>
      <c r="CJV4" s="5"/>
      <c r="CJW4" s="5"/>
      <c r="CJX4" s="5"/>
      <c r="CJY4" s="5"/>
      <c r="CJZ4" s="5"/>
      <c r="CKA4" s="5"/>
      <c r="CKB4" s="5"/>
      <c r="CKC4" s="5"/>
      <c r="CKD4" s="5"/>
      <c r="CKE4" s="5"/>
      <c r="CKF4" s="5"/>
      <c r="CKG4" s="5"/>
      <c r="CKH4" s="5"/>
      <c r="CKI4" s="5"/>
      <c r="CKJ4" s="5"/>
      <c r="CKK4" s="5"/>
      <c r="CKL4" s="5"/>
      <c r="CKM4" s="5"/>
      <c r="CKN4" s="5"/>
      <c r="CKO4" s="5"/>
      <c r="CKP4" s="5"/>
      <c r="CKQ4" s="5"/>
      <c r="CKR4" s="5"/>
      <c r="CKS4" s="5"/>
      <c r="CKT4" s="5"/>
      <c r="CKU4" s="5"/>
      <c r="CKV4" s="5"/>
      <c r="CKW4" s="5"/>
      <c r="CKX4" s="5"/>
      <c r="CKY4" s="5"/>
      <c r="CKZ4" s="5"/>
      <c r="CLA4" s="5"/>
      <c r="CLB4" s="5"/>
      <c r="CLC4" s="5"/>
      <c r="CLD4" s="5"/>
      <c r="CLE4" s="5"/>
      <c r="CLF4" s="5"/>
      <c r="CLG4" s="5"/>
      <c r="CLH4" s="5"/>
      <c r="CLI4" s="5"/>
      <c r="CLJ4" s="5"/>
      <c r="CLK4" s="5"/>
      <c r="CLL4" s="5"/>
      <c r="CLM4" s="5"/>
      <c r="CLN4" s="5"/>
      <c r="CLO4" s="5"/>
      <c r="CLP4" s="5"/>
      <c r="CLQ4" s="5"/>
      <c r="CLR4" s="5"/>
      <c r="CLS4" s="5"/>
      <c r="CLT4" s="5"/>
      <c r="CLU4" s="5"/>
      <c r="CLV4" s="5"/>
      <c r="CLW4" s="5"/>
      <c r="CLX4" s="5"/>
      <c r="CLY4" s="5"/>
      <c r="CLZ4" s="5"/>
      <c r="CMA4" s="5"/>
      <c r="CMB4" s="5"/>
      <c r="CMC4" s="5"/>
      <c r="CMD4" s="5"/>
      <c r="CME4" s="5"/>
      <c r="CMF4" s="5"/>
      <c r="CMG4" s="5"/>
      <c r="CMH4" s="5"/>
      <c r="CMI4" s="5"/>
      <c r="CMJ4" s="5"/>
      <c r="CMK4" s="5"/>
      <c r="CML4" s="5"/>
      <c r="CMM4" s="5"/>
      <c r="CMN4" s="5"/>
      <c r="CMO4" s="5"/>
      <c r="CMP4" s="5"/>
      <c r="CMQ4" s="5"/>
      <c r="CMR4" s="5"/>
      <c r="CMS4" s="5"/>
      <c r="CMT4" s="5"/>
      <c r="CMU4" s="5"/>
      <c r="CMV4" s="5"/>
      <c r="CMW4" s="5"/>
      <c r="CMX4" s="5"/>
      <c r="CMY4" s="5"/>
      <c r="CMZ4" s="5"/>
      <c r="CNA4" s="5"/>
      <c r="CNB4" s="5"/>
      <c r="CNC4" s="5"/>
      <c r="CND4" s="5"/>
      <c r="CNE4" s="5"/>
      <c r="CNF4" s="5"/>
      <c r="CNG4" s="5"/>
      <c r="CNH4" s="5"/>
      <c r="CNI4" s="5"/>
      <c r="CNJ4" s="5"/>
      <c r="CNK4" s="5"/>
      <c r="CNL4" s="5"/>
      <c r="CNM4" s="5"/>
      <c r="CNN4" s="5"/>
      <c r="CNO4" s="5"/>
      <c r="CNP4" s="5"/>
      <c r="CNQ4" s="5"/>
      <c r="CNR4" s="5"/>
      <c r="CNS4" s="5"/>
      <c r="CNT4" s="5"/>
      <c r="CNU4" s="5"/>
      <c r="CNV4" s="5"/>
      <c r="CNW4" s="5"/>
      <c r="CNX4" s="5"/>
      <c r="CNY4" s="5"/>
      <c r="CNZ4" s="5"/>
      <c r="COA4" s="5"/>
      <c r="COB4" s="5"/>
      <c r="COC4" s="5"/>
      <c r="COD4" s="5"/>
      <c r="COE4" s="5"/>
      <c r="COF4" s="5"/>
      <c r="COG4" s="5"/>
      <c r="COH4" s="5"/>
      <c r="COI4" s="5"/>
      <c r="COJ4" s="5"/>
      <c r="COK4" s="5"/>
      <c r="COL4" s="5"/>
      <c r="COM4" s="5"/>
      <c r="CON4" s="5"/>
      <c r="COO4" s="5"/>
      <c r="COP4" s="5"/>
      <c r="COQ4" s="5"/>
      <c r="COR4" s="5"/>
      <c r="COS4" s="5"/>
      <c r="COT4" s="5"/>
      <c r="COU4" s="5"/>
      <c r="COV4" s="5"/>
      <c r="COW4" s="5"/>
      <c r="COX4" s="5"/>
      <c r="COY4" s="5"/>
      <c r="COZ4" s="5"/>
      <c r="CPA4" s="5"/>
      <c r="CPB4" s="5"/>
      <c r="CPC4" s="5"/>
      <c r="CPD4" s="5"/>
      <c r="CPE4" s="5"/>
      <c r="CPF4" s="5"/>
      <c r="CPG4" s="5"/>
      <c r="CPH4" s="5"/>
      <c r="CPI4" s="5"/>
      <c r="CPJ4" s="5"/>
      <c r="CPK4" s="5"/>
      <c r="CPL4" s="5"/>
      <c r="CPM4" s="5"/>
      <c r="CPN4" s="5"/>
      <c r="CPO4" s="5"/>
      <c r="CPP4" s="5"/>
      <c r="CPQ4" s="5"/>
      <c r="CPR4" s="5"/>
      <c r="CPS4" s="5"/>
      <c r="CPT4" s="5"/>
      <c r="CPU4" s="5"/>
      <c r="CPV4" s="5"/>
      <c r="CPW4" s="5"/>
      <c r="CPX4" s="5"/>
      <c r="CPY4" s="5"/>
      <c r="CPZ4" s="5"/>
      <c r="CQA4" s="5"/>
      <c r="CQB4" s="5"/>
      <c r="CQC4" s="5"/>
      <c r="CQD4" s="5"/>
      <c r="CQE4" s="5"/>
      <c r="CQF4" s="5"/>
      <c r="CQG4" s="5"/>
      <c r="CQH4" s="5"/>
      <c r="CQI4" s="5"/>
      <c r="CQJ4" s="5"/>
      <c r="CQK4" s="5"/>
      <c r="CQL4" s="5"/>
      <c r="CQM4" s="5"/>
      <c r="CQN4" s="5"/>
      <c r="CQO4" s="5"/>
      <c r="CQP4" s="5"/>
      <c r="CQQ4" s="5"/>
      <c r="CQR4" s="5"/>
      <c r="CQS4" s="5"/>
      <c r="CQT4" s="5"/>
      <c r="CQU4" s="5"/>
      <c r="CQV4" s="5"/>
      <c r="CQW4" s="5"/>
      <c r="CQX4" s="5"/>
      <c r="CQY4" s="5"/>
      <c r="CQZ4" s="5"/>
      <c r="CRA4" s="5"/>
      <c r="CRB4" s="5"/>
      <c r="CRC4" s="5"/>
      <c r="CRD4" s="5"/>
      <c r="CRE4" s="5"/>
      <c r="CRF4" s="5"/>
      <c r="CRG4" s="5"/>
      <c r="CRH4" s="5"/>
      <c r="CRI4" s="5"/>
      <c r="CRJ4" s="5"/>
      <c r="CRK4" s="5"/>
      <c r="CRL4" s="5"/>
      <c r="CRM4" s="5"/>
      <c r="CRN4" s="5"/>
      <c r="CRO4" s="5"/>
      <c r="CRP4" s="5"/>
      <c r="CRQ4" s="5"/>
      <c r="CRR4" s="5"/>
      <c r="CRS4" s="5"/>
      <c r="CRT4" s="5"/>
      <c r="CRU4" s="5"/>
      <c r="CRV4" s="5"/>
      <c r="CRW4" s="5"/>
      <c r="CRX4" s="5"/>
      <c r="CRY4" s="5"/>
      <c r="CRZ4" s="5"/>
      <c r="CSA4" s="5"/>
      <c r="CSB4" s="5"/>
      <c r="CSC4" s="5"/>
      <c r="CSD4" s="5"/>
      <c r="CSE4" s="5"/>
      <c r="CSF4" s="5"/>
      <c r="CSG4" s="5"/>
      <c r="CSH4" s="5"/>
      <c r="CSI4" s="5"/>
      <c r="CSJ4" s="5"/>
      <c r="CSK4" s="5"/>
      <c r="CSL4" s="5"/>
      <c r="CSM4" s="5"/>
      <c r="CSN4" s="5"/>
      <c r="CSO4" s="5"/>
      <c r="CSP4" s="5"/>
      <c r="CSQ4" s="5"/>
      <c r="CSR4" s="5"/>
      <c r="CSS4" s="5"/>
      <c r="CST4" s="5"/>
      <c r="CSU4" s="5"/>
      <c r="CSV4" s="5"/>
      <c r="CSW4" s="5"/>
      <c r="CSX4" s="5"/>
      <c r="CSY4" s="5"/>
      <c r="CSZ4" s="5"/>
      <c r="CTA4" s="5"/>
      <c r="CTB4" s="5"/>
      <c r="CTC4" s="5"/>
      <c r="CTD4" s="5"/>
      <c r="CTE4" s="5"/>
      <c r="CTF4" s="5"/>
      <c r="CTG4" s="5"/>
      <c r="CTH4" s="5"/>
      <c r="CTI4" s="5"/>
      <c r="CTJ4" s="5"/>
      <c r="CTK4" s="5"/>
      <c r="CTL4" s="5"/>
      <c r="CTM4" s="5"/>
      <c r="CTN4" s="5"/>
      <c r="CTO4" s="5"/>
      <c r="CTP4" s="5"/>
      <c r="CTQ4" s="5"/>
      <c r="CTR4" s="5"/>
      <c r="CTS4" s="5"/>
      <c r="CTT4" s="5"/>
      <c r="CTU4" s="5"/>
      <c r="CTV4" s="5"/>
      <c r="CTW4" s="5"/>
      <c r="CTX4" s="5"/>
      <c r="CTY4" s="5"/>
      <c r="CTZ4" s="5"/>
      <c r="CUA4" s="5"/>
      <c r="CUB4" s="5"/>
      <c r="CUC4" s="5"/>
      <c r="CUD4" s="5"/>
      <c r="CUE4" s="5"/>
      <c r="CUF4" s="5"/>
      <c r="CUG4" s="5"/>
      <c r="CUH4" s="5"/>
      <c r="CUI4" s="5"/>
      <c r="CUJ4" s="5"/>
      <c r="CUK4" s="5"/>
      <c r="CUL4" s="5"/>
      <c r="CUM4" s="5"/>
      <c r="CUN4" s="5"/>
      <c r="CUO4" s="5"/>
      <c r="CUP4" s="5"/>
      <c r="CUQ4" s="5"/>
      <c r="CUR4" s="5"/>
      <c r="CUS4" s="5"/>
      <c r="CUT4" s="5"/>
      <c r="CUU4" s="5"/>
      <c r="CUV4" s="5"/>
      <c r="CUW4" s="5"/>
      <c r="CUX4" s="5"/>
      <c r="CUY4" s="5"/>
      <c r="CUZ4" s="5"/>
      <c r="CVA4" s="5"/>
      <c r="CVB4" s="5"/>
      <c r="CVC4" s="5"/>
      <c r="CVD4" s="5"/>
      <c r="CVE4" s="5"/>
      <c r="CVF4" s="5"/>
      <c r="CVG4" s="5"/>
      <c r="CVH4" s="5"/>
      <c r="CVI4" s="5"/>
      <c r="CVJ4" s="5"/>
      <c r="CVK4" s="5"/>
      <c r="CVL4" s="5"/>
      <c r="CVM4" s="5"/>
      <c r="CVN4" s="5"/>
      <c r="CVO4" s="5"/>
      <c r="CVP4" s="5"/>
      <c r="CVQ4" s="5"/>
      <c r="CVR4" s="5"/>
      <c r="CVS4" s="5"/>
      <c r="CVT4" s="5"/>
      <c r="CVU4" s="5"/>
      <c r="CVV4" s="5"/>
      <c r="CVW4" s="5"/>
      <c r="CVX4" s="5"/>
      <c r="CVY4" s="5"/>
      <c r="CVZ4" s="5"/>
      <c r="CWA4" s="5"/>
      <c r="CWB4" s="5"/>
      <c r="CWC4" s="5"/>
      <c r="CWD4" s="5"/>
      <c r="CWE4" s="5"/>
      <c r="CWF4" s="5"/>
      <c r="CWG4" s="5"/>
      <c r="CWH4" s="5"/>
      <c r="CWI4" s="5"/>
      <c r="CWJ4" s="5"/>
      <c r="CWK4" s="5"/>
      <c r="CWL4" s="5"/>
      <c r="CWM4" s="5"/>
      <c r="CWN4" s="5"/>
      <c r="CWO4" s="5"/>
      <c r="CWP4" s="5"/>
      <c r="CWQ4" s="5"/>
      <c r="CWR4" s="5"/>
      <c r="CWS4" s="5"/>
      <c r="CWT4" s="5"/>
      <c r="CWU4" s="5"/>
      <c r="CWV4" s="5"/>
      <c r="CWW4" s="5"/>
      <c r="CWX4" s="5"/>
      <c r="CWY4" s="5"/>
      <c r="CWZ4" s="5"/>
      <c r="CXA4" s="5"/>
      <c r="CXB4" s="5"/>
      <c r="CXC4" s="5"/>
      <c r="CXD4" s="5"/>
      <c r="CXE4" s="5"/>
      <c r="CXF4" s="5"/>
      <c r="CXG4" s="5"/>
      <c r="CXH4" s="5"/>
      <c r="CXI4" s="5"/>
      <c r="CXJ4" s="5"/>
      <c r="CXK4" s="5"/>
      <c r="CXL4" s="5"/>
      <c r="CXM4" s="5"/>
      <c r="CXN4" s="5"/>
      <c r="CXO4" s="5"/>
      <c r="CXP4" s="5"/>
      <c r="CXQ4" s="5"/>
      <c r="CXR4" s="5"/>
      <c r="CXS4" s="5"/>
      <c r="CXT4" s="5"/>
      <c r="CXU4" s="5"/>
      <c r="CXV4" s="5"/>
      <c r="CXW4" s="5"/>
      <c r="CXX4" s="5"/>
      <c r="CXY4" s="5"/>
      <c r="CXZ4" s="5"/>
      <c r="CYA4" s="5"/>
      <c r="CYB4" s="5"/>
      <c r="CYC4" s="5"/>
      <c r="CYD4" s="5"/>
      <c r="CYE4" s="5"/>
      <c r="CYF4" s="5"/>
      <c r="CYG4" s="5"/>
      <c r="CYH4" s="5"/>
      <c r="CYI4" s="5"/>
      <c r="CYJ4" s="5"/>
      <c r="CYK4" s="5"/>
      <c r="CYL4" s="5"/>
      <c r="CYM4" s="5"/>
      <c r="CYN4" s="5"/>
      <c r="CYO4" s="5"/>
      <c r="CYP4" s="5"/>
      <c r="CYQ4" s="5"/>
      <c r="CYR4" s="5"/>
      <c r="CYS4" s="5"/>
      <c r="CYT4" s="5"/>
      <c r="CYU4" s="5"/>
      <c r="CYV4" s="5"/>
      <c r="CYW4" s="5"/>
      <c r="CYX4" s="5"/>
      <c r="CYY4" s="5"/>
      <c r="CYZ4" s="5"/>
      <c r="CZA4" s="5"/>
      <c r="CZB4" s="5"/>
      <c r="CZC4" s="5"/>
      <c r="CZD4" s="5"/>
      <c r="CZE4" s="5"/>
      <c r="CZF4" s="5"/>
      <c r="CZG4" s="5"/>
      <c r="CZH4" s="5"/>
      <c r="CZI4" s="5"/>
      <c r="CZJ4" s="5"/>
      <c r="CZK4" s="5"/>
      <c r="CZL4" s="5"/>
      <c r="CZM4" s="5"/>
      <c r="CZN4" s="5"/>
      <c r="CZO4" s="5"/>
      <c r="CZP4" s="5"/>
      <c r="CZQ4" s="5"/>
      <c r="CZR4" s="5"/>
      <c r="CZS4" s="5"/>
      <c r="CZT4" s="5"/>
      <c r="CZU4" s="5"/>
      <c r="CZV4" s="5"/>
      <c r="CZW4" s="5"/>
      <c r="CZX4" s="5"/>
      <c r="CZY4" s="5"/>
      <c r="CZZ4" s="5"/>
      <c r="DAA4" s="5"/>
      <c r="DAB4" s="5"/>
      <c r="DAC4" s="5"/>
      <c r="DAD4" s="5"/>
      <c r="DAE4" s="5"/>
      <c r="DAF4" s="5"/>
      <c r="DAG4" s="5"/>
      <c r="DAH4" s="5"/>
      <c r="DAI4" s="5"/>
      <c r="DAJ4" s="5"/>
      <c r="DAK4" s="5"/>
      <c r="DAL4" s="5"/>
      <c r="DAM4" s="5"/>
      <c r="DAN4" s="5"/>
      <c r="DAO4" s="5"/>
      <c r="DAP4" s="5"/>
      <c r="DAQ4" s="5"/>
      <c r="DAR4" s="5"/>
      <c r="DAS4" s="5"/>
      <c r="DAT4" s="5"/>
      <c r="DAU4" s="5"/>
      <c r="DAV4" s="5"/>
      <c r="DAW4" s="5"/>
      <c r="DAX4" s="5"/>
      <c r="DAY4" s="5"/>
      <c r="DAZ4" s="5"/>
      <c r="DBA4" s="5"/>
      <c r="DBB4" s="5"/>
      <c r="DBC4" s="5"/>
      <c r="DBD4" s="5"/>
      <c r="DBE4" s="5"/>
      <c r="DBF4" s="5"/>
      <c r="DBG4" s="5"/>
      <c r="DBH4" s="5"/>
      <c r="DBI4" s="5"/>
      <c r="DBJ4" s="5"/>
      <c r="DBK4" s="5"/>
      <c r="DBL4" s="5"/>
      <c r="DBM4" s="5"/>
      <c r="DBN4" s="5"/>
      <c r="DBO4" s="5"/>
      <c r="DBP4" s="5"/>
      <c r="DBQ4" s="5"/>
      <c r="DBR4" s="5"/>
      <c r="DBS4" s="5"/>
      <c r="DBT4" s="5"/>
      <c r="DBU4" s="5"/>
      <c r="DBV4" s="5"/>
      <c r="DBW4" s="5"/>
      <c r="DBX4" s="5"/>
      <c r="DBY4" s="5"/>
      <c r="DBZ4" s="5"/>
      <c r="DCA4" s="5"/>
      <c r="DCB4" s="5"/>
      <c r="DCC4" s="5"/>
      <c r="DCD4" s="5"/>
      <c r="DCE4" s="5"/>
      <c r="DCF4" s="5"/>
      <c r="DCG4" s="5"/>
      <c r="DCH4" s="5"/>
      <c r="DCI4" s="5"/>
      <c r="DCJ4" s="5"/>
      <c r="DCK4" s="5"/>
      <c r="DCL4" s="5"/>
      <c r="DCM4" s="5"/>
      <c r="DCN4" s="5"/>
      <c r="DCO4" s="5"/>
      <c r="DCP4" s="5"/>
      <c r="DCQ4" s="5"/>
      <c r="DCR4" s="5"/>
      <c r="DCS4" s="5"/>
      <c r="DCT4" s="5"/>
      <c r="DCU4" s="5"/>
      <c r="DCV4" s="5"/>
      <c r="DCW4" s="5"/>
      <c r="DCX4" s="5"/>
      <c r="DCY4" s="5"/>
      <c r="DCZ4" s="5"/>
      <c r="DDA4" s="5"/>
      <c r="DDB4" s="5"/>
      <c r="DDC4" s="5"/>
      <c r="DDD4" s="5"/>
      <c r="DDE4" s="5"/>
      <c r="DDF4" s="5"/>
      <c r="DDG4" s="5"/>
      <c r="DDH4" s="5"/>
      <c r="DDI4" s="5"/>
      <c r="DDJ4" s="5"/>
      <c r="DDK4" s="5"/>
      <c r="DDL4" s="5"/>
      <c r="DDM4" s="5"/>
      <c r="DDN4" s="5"/>
      <c r="DDO4" s="5"/>
      <c r="DDP4" s="5"/>
      <c r="DDQ4" s="5"/>
      <c r="DDR4" s="5"/>
      <c r="DDS4" s="5"/>
      <c r="DDT4" s="5"/>
      <c r="DDU4" s="5"/>
      <c r="DDV4" s="5"/>
      <c r="DDW4" s="5"/>
      <c r="DDX4" s="5"/>
      <c r="DDY4" s="5"/>
      <c r="DDZ4" s="5"/>
      <c r="DEA4" s="5"/>
      <c r="DEB4" s="5"/>
      <c r="DEC4" s="5"/>
      <c r="DED4" s="5"/>
      <c r="DEE4" s="5"/>
      <c r="DEF4" s="5"/>
      <c r="DEG4" s="5"/>
      <c r="DEH4" s="5"/>
      <c r="DEI4" s="5"/>
      <c r="DEJ4" s="5"/>
      <c r="DEK4" s="5"/>
      <c r="DEL4" s="5"/>
      <c r="DEM4" s="5"/>
      <c r="DEN4" s="5"/>
      <c r="DEO4" s="5"/>
      <c r="DEP4" s="5"/>
      <c r="DEQ4" s="5"/>
      <c r="DER4" s="5"/>
      <c r="DES4" s="5"/>
      <c r="DET4" s="5"/>
      <c r="DEU4" s="5"/>
      <c r="DEV4" s="5"/>
      <c r="DEW4" s="5"/>
      <c r="DEX4" s="5"/>
      <c r="DEY4" s="5"/>
      <c r="DEZ4" s="5"/>
      <c r="DFA4" s="5"/>
      <c r="DFB4" s="5"/>
      <c r="DFC4" s="5"/>
      <c r="DFD4" s="5"/>
      <c r="DFE4" s="5"/>
      <c r="DFF4" s="5"/>
      <c r="DFG4" s="5"/>
      <c r="DFH4" s="5"/>
      <c r="DFI4" s="5"/>
      <c r="DFJ4" s="5"/>
      <c r="DFK4" s="5"/>
      <c r="DFL4" s="5"/>
      <c r="DFM4" s="5"/>
      <c r="DFN4" s="5"/>
      <c r="DFO4" s="5"/>
      <c r="DFP4" s="5"/>
      <c r="DFQ4" s="5"/>
      <c r="DFR4" s="5"/>
      <c r="DFS4" s="5"/>
      <c r="DFT4" s="5"/>
      <c r="DFU4" s="5"/>
      <c r="DFV4" s="5"/>
      <c r="DFW4" s="5"/>
      <c r="DFX4" s="5"/>
      <c r="DFY4" s="5"/>
      <c r="DFZ4" s="5"/>
      <c r="DGA4" s="5"/>
      <c r="DGB4" s="5"/>
      <c r="DGC4" s="5"/>
      <c r="DGD4" s="5"/>
      <c r="DGE4" s="5"/>
      <c r="DGF4" s="5"/>
      <c r="DGG4" s="5"/>
      <c r="DGH4" s="5"/>
      <c r="DGI4" s="5"/>
      <c r="DGJ4" s="5"/>
      <c r="DGK4" s="5"/>
      <c r="DGL4" s="5"/>
      <c r="DGM4" s="5"/>
      <c r="DGN4" s="5"/>
      <c r="DGO4" s="5"/>
      <c r="DGP4" s="5"/>
      <c r="DGQ4" s="5"/>
      <c r="DGR4" s="5"/>
      <c r="DGS4" s="5"/>
      <c r="DGT4" s="5"/>
      <c r="DGU4" s="5"/>
      <c r="DGV4" s="5"/>
      <c r="DGW4" s="5"/>
      <c r="DGX4" s="5"/>
      <c r="DGY4" s="5"/>
      <c r="DGZ4" s="5"/>
      <c r="DHA4" s="5"/>
      <c r="DHB4" s="5"/>
      <c r="DHC4" s="5"/>
      <c r="DHD4" s="5"/>
      <c r="DHE4" s="5"/>
      <c r="DHF4" s="5"/>
      <c r="DHG4" s="5"/>
      <c r="DHH4" s="5"/>
      <c r="DHI4" s="5"/>
      <c r="DHJ4" s="5"/>
      <c r="DHK4" s="5"/>
      <c r="DHL4" s="5"/>
      <c r="DHM4" s="5"/>
      <c r="DHN4" s="5"/>
      <c r="DHO4" s="5"/>
      <c r="DHP4" s="5"/>
      <c r="DHQ4" s="5"/>
      <c r="DHR4" s="5"/>
      <c r="DHS4" s="5"/>
      <c r="DHT4" s="5"/>
      <c r="DHU4" s="5"/>
      <c r="DHV4" s="5"/>
      <c r="DHW4" s="5"/>
      <c r="DHX4" s="5"/>
      <c r="DHY4" s="5"/>
      <c r="DHZ4" s="5"/>
      <c r="DIA4" s="5"/>
      <c r="DIB4" s="5"/>
      <c r="DIC4" s="5"/>
      <c r="DID4" s="5"/>
      <c r="DIE4" s="5"/>
      <c r="DIF4" s="5"/>
      <c r="DIG4" s="5"/>
      <c r="DIH4" s="5"/>
      <c r="DII4" s="5"/>
      <c r="DIJ4" s="5"/>
      <c r="DIK4" s="5"/>
      <c r="DIL4" s="5"/>
      <c r="DIM4" s="5"/>
      <c r="DIN4" s="5"/>
      <c r="DIO4" s="5"/>
      <c r="DIP4" s="5"/>
      <c r="DIQ4" s="5"/>
      <c r="DIR4" s="5"/>
      <c r="DIS4" s="5"/>
      <c r="DIT4" s="5"/>
      <c r="DIU4" s="5"/>
      <c r="DIV4" s="5"/>
      <c r="DIW4" s="5"/>
      <c r="DIX4" s="5"/>
      <c r="DIY4" s="5"/>
      <c r="DIZ4" s="5"/>
      <c r="DJA4" s="5"/>
      <c r="DJB4" s="5"/>
      <c r="DJC4" s="5"/>
      <c r="DJD4" s="5"/>
      <c r="DJE4" s="5"/>
      <c r="DJF4" s="5"/>
      <c r="DJG4" s="5"/>
      <c r="DJH4" s="5"/>
      <c r="DJI4" s="5"/>
      <c r="DJJ4" s="5"/>
      <c r="DJK4" s="5"/>
      <c r="DJL4" s="5"/>
      <c r="DJM4" s="5"/>
      <c r="DJN4" s="5"/>
      <c r="DJO4" s="5"/>
      <c r="DJP4" s="5"/>
      <c r="DJQ4" s="5"/>
      <c r="DJR4" s="5"/>
      <c r="DJS4" s="5"/>
      <c r="DJT4" s="5"/>
      <c r="DJU4" s="5"/>
      <c r="DJV4" s="5"/>
      <c r="DJW4" s="5"/>
      <c r="DJX4" s="5"/>
      <c r="DJY4" s="5"/>
      <c r="DJZ4" s="5"/>
      <c r="DKA4" s="5"/>
      <c r="DKB4" s="5"/>
      <c r="DKC4" s="5"/>
      <c r="DKD4" s="5"/>
      <c r="DKE4" s="5"/>
      <c r="DKF4" s="5"/>
      <c r="DKG4" s="5"/>
      <c r="DKH4" s="5"/>
      <c r="DKI4" s="5"/>
      <c r="DKJ4" s="5"/>
      <c r="DKK4" s="5"/>
      <c r="DKL4" s="5"/>
      <c r="DKM4" s="5"/>
      <c r="DKN4" s="5"/>
      <c r="DKO4" s="5"/>
      <c r="DKP4" s="5"/>
      <c r="DKQ4" s="5"/>
      <c r="DKR4" s="5"/>
      <c r="DKS4" s="5"/>
      <c r="DKT4" s="5"/>
      <c r="DKU4" s="5"/>
      <c r="DKV4" s="5"/>
      <c r="DKW4" s="5"/>
      <c r="DKX4" s="5"/>
      <c r="DKY4" s="5"/>
      <c r="DKZ4" s="5"/>
      <c r="DLA4" s="5"/>
      <c r="DLB4" s="5"/>
      <c r="DLC4" s="5"/>
      <c r="DLD4" s="5"/>
      <c r="DLE4" s="5"/>
      <c r="DLF4" s="5"/>
      <c r="DLG4" s="5"/>
      <c r="DLH4" s="5"/>
      <c r="DLI4" s="5"/>
      <c r="DLJ4" s="5"/>
      <c r="DLK4" s="5"/>
      <c r="DLL4" s="5"/>
      <c r="DLM4" s="5"/>
      <c r="DLN4" s="5"/>
      <c r="DLO4" s="5"/>
      <c r="DLP4" s="5"/>
      <c r="DLQ4" s="5"/>
      <c r="DLR4" s="5"/>
      <c r="DLS4" s="5"/>
      <c r="DLT4" s="5"/>
      <c r="DLU4" s="5"/>
      <c r="DLV4" s="5"/>
      <c r="DLW4" s="5"/>
      <c r="DLX4" s="5"/>
      <c r="DLY4" s="5"/>
      <c r="DLZ4" s="5"/>
      <c r="DMA4" s="5"/>
      <c r="DMB4" s="5"/>
      <c r="DMC4" s="5"/>
      <c r="DMD4" s="5"/>
      <c r="DME4" s="5"/>
      <c r="DMF4" s="5"/>
      <c r="DMG4" s="5"/>
      <c r="DMH4" s="5"/>
      <c r="DMI4" s="5"/>
      <c r="DMJ4" s="5"/>
      <c r="DMK4" s="5"/>
      <c r="DML4" s="5"/>
      <c r="DMM4" s="5"/>
      <c r="DMN4" s="5"/>
      <c r="DMO4" s="5"/>
      <c r="DMP4" s="5"/>
      <c r="DMQ4" s="5"/>
      <c r="DMR4" s="5"/>
      <c r="DMS4" s="5"/>
      <c r="DMT4" s="5"/>
      <c r="DMU4" s="5"/>
      <c r="DMV4" s="5"/>
      <c r="DMW4" s="5"/>
      <c r="DMX4" s="5"/>
      <c r="DMY4" s="5"/>
      <c r="DMZ4" s="5"/>
      <c r="DNA4" s="5"/>
      <c r="DNB4" s="5"/>
      <c r="DNC4" s="5"/>
      <c r="DND4" s="5"/>
      <c r="DNE4" s="5"/>
      <c r="DNF4" s="5"/>
      <c r="DNG4" s="5"/>
      <c r="DNH4" s="5"/>
      <c r="DNI4" s="5"/>
      <c r="DNJ4" s="5"/>
      <c r="DNK4" s="5"/>
      <c r="DNL4" s="5"/>
      <c r="DNM4" s="5"/>
      <c r="DNN4" s="5"/>
      <c r="DNO4" s="5"/>
      <c r="DNP4" s="5"/>
      <c r="DNQ4" s="5"/>
      <c r="DNR4" s="5"/>
      <c r="DNS4" s="5"/>
      <c r="DNT4" s="5"/>
      <c r="DNU4" s="5"/>
      <c r="DNV4" s="5"/>
      <c r="DNW4" s="5"/>
      <c r="DNX4" s="5"/>
      <c r="DNY4" s="5"/>
      <c r="DNZ4" s="5"/>
      <c r="DOA4" s="5"/>
      <c r="DOB4" s="5"/>
      <c r="DOC4" s="5"/>
      <c r="DOD4" s="5"/>
      <c r="DOE4" s="5"/>
      <c r="DOF4" s="5"/>
      <c r="DOG4" s="5"/>
      <c r="DOH4" s="5"/>
      <c r="DOI4" s="5"/>
      <c r="DOJ4" s="5"/>
      <c r="DOK4" s="5"/>
      <c r="DOL4" s="5"/>
      <c r="DOM4" s="5"/>
      <c r="DON4" s="5"/>
      <c r="DOO4" s="5"/>
      <c r="DOP4" s="5"/>
      <c r="DOQ4" s="5"/>
      <c r="DOR4" s="5"/>
      <c r="DOS4" s="5"/>
      <c r="DOT4" s="5"/>
      <c r="DOU4" s="5"/>
      <c r="DOV4" s="5"/>
      <c r="DOW4" s="5"/>
      <c r="DOX4" s="5"/>
      <c r="DOY4" s="5"/>
      <c r="DOZ4" s="5"/>
      <c r="DPA4" s="5"/>
      <c r="DPB4" s="5"/>
      <c r="DPC4" s="5"/>
      <c r="DPD4" s="5"/>
      <c r="DPE4" s="5"/>
      <c r="DPF4" s="5"/>
      <c r="DPG4" s="5"/>
      <c r="DPH4" s="5"/>
      <c r="DPI4" s="5"/>
      <c r="DPJ4" s="5"/>
      <c r="DPK4" s="5"/>
      <c r="DPL4" s="5"/>
      <c r="DPM4" s="5"/>
      <c r="DPN4" s="5"/>
      <c r="DPO4" s="5"/>
      <c r="DPP4" s="5"/>
      <c r="DPQ4" s="5"/>
      <c r="DPR4" s="5"/>
      <c r="DPS4" s="5"/>
      <c r="DPT4" s="5"/>
      <c r="DPU4" s="5"/>
      <c r="DPV4" s="5"/>
      <c r="DPW4" s="5"/>
      <c r="DPX4" s="5"/>
      <c r="DPY4" s="5"/>
      <c r="DPZ4" s="5"/>
      <c r="DQA4" s="5"/>
      <c r="DQB4" s="5"/>
      <c r="DQC4" s="5"/>
      <c r="DQD4" s="5"/>
      <c r="DQE4" s="5"/>
      <c r="DQF4" s="5"/>
      <c r="DQG4" s="5"/>
      <c r="DQH4" s="5"/>
      <c r="DQI4" s="5"/>
      <c r="DQJ4" s="5"/>
      <c r="DQK4" s="5"/>
      <c r="DQL4" s="5"/>
      <c r="DQM4" s="5"/>
      <c r="DQN4" s="5"/>
      <c r="DQO4" s="5"/>
      <c r="DQP4" s="5"/>
      <c r="DQQ4" s="5"/>
      <c r="DQR4" s="5"/>
      <c r="DQS4" s="5"/>
      <c r="DQT4" s="5"/>
      <c r="DQU4" s="5"/>
      <c r="DQV4" s="5"/>
      <c r="DQW4" s="5"/>
      <c r="DQX4" s="5"/>
      <c r="DQY4" s="5"/>
      <c r="DQZ4" s="5"/>
      <c r="DRA4" s="5"/>
      <c r="DRB4" s="5"/>
      <c r="DRC4" s="5"/>
      <c r="DRD4" s="5"/>
      <c r="DRE4" s="5"/>
      <c r="DRF4" s="5"/>
      <c r="DRG4" s="5"/>
      <c r="DRH4" s="5"/>
      <c r="DRI4" s="5"/>
      <c r="DRJ4" s="5"/>
      <c r="DRK4" s="5"/>
      <c r="DRL4" s="5"/>
      <c r="DRM4" s="5"/>
      <c r="DRN4" s="5"/>
      <c r="DRO4" s="5"/>
      <c r="DRP4" s="5"/>
      <c r="DRQ4" s="5"/>
      <c r="DRR4" s="5"/>
      <c r="DRS4" s="5"/>
      <c r="DRT4" s="5"/>
      <c r="DRU4" s="5"/>
      <c r="DRV4" s="5"/>
      <c r="DRW4" s="5"/>
      <c r="DRX4" s="5"/>
      <c r="DRY4" s="5"/>
      <c r="DRZ4" s="5"/>
      <c r="DSA4" s="5"/>
      <c r="DSB4" s="5"/>
      <c r="DSC4" s="5"/>
      <c r="DSD4" s="5"/>
      <c r="DSE4" s="5"/>
      <c r="DSF4" s="5"/>
      <c r="DSG4" s="5"/>
      <c r="DSH4" s="5"/>
      <c r="DSI4" s="5"/>
      <c r="DSJ4" s="5"/>
      <c r="DSK4" s="5"/>
      <c r="DSL4" s="5"/>
      <c r="DSM4" s="5"/>
      <c r="DSN4" s="5"/>
      <c r="DSO4" s="5"/>
      <c r="DSP4" s="5"/>
      <c r="DSQ4" s="5"/>
      <c r="DSR4" s="5"/>
      <c r="DSS4" s="5"/>
      <c r="DST4" s="5"/>
      <c r="DSU4" s="5"/>
      <c r="DSV4" s="5"/>
      <c r="DSW4" s="5"/>
      <c r="DSX4" s="5"/>
      <c r="DSY4" s="5"/>
      <c r="DSZ4" s="5"/>
      <c r="DTA4" s="5"/>
      <c r="DTB4" s="5"/>
      <c r="DTC4" s="5"/>
      <c r="DTD4" s="5"/>
      <c r="DTE4" s="5"/>
      <c r="DTF4" s="5"/>
      <c r="DTG4" s="5"/>
      <c r="DTH4" s="5"/>
      <c r="DTI4" s="5"/>
      <c r="DTJ4" s="5"/>
      <c r="DTK4" s="5"/>
      <c r="DTL4" s="5"/>
      <c r="DTM4" s="5"/>
      <c r="DTN4" s="5"/>
      <c r="DTO4" s="5"/>
      <c r="DTP4" s="5"/>
      <c r="DTQ4" s="5"/>
      <c r="DTR4" s="5"/>
      <c r="DTS4" s="5"/>
      <c r="DTT4" s="5"/>
      <c r="DTU4" s="5"/>
      <c r="DTV4" s="5"/>
      <c r="DTW4" s="5"/>
      <c r="DTX4" s="5"/>
      <c r="DTY4" s="5"/>
      <c r="DTZ4" s="5"/>
      <c r="DUA4" s="5"/>
      <c r="DUB4" s="5"/>
      <c r="DUC4" s="5"/>
      <c r="DUD4" s="5"/>
      <c r="DUE4" s="5"/>
      <c r="DUF4" s="5"/>
      <c r="DUG4" s="5"/>
      <c r="DUH4" s="5"/>
      <c r="DUI4" s="5"/>
      <c r="DUJ4" s="5"/>
      <c r="DUK4" s="5"/>
      <c r="DUL4" s="5"/>
      <c r="DUM4" s="5"/>
      <c r="DUN4" s="5"/>
      <c r="DUO4" s="5"/>
      <c r="DUP4" s="5"/>
      <c r="DUQ4" s="5"/>
      <c r="DUR4" s="5"/>
      <c r="DUS4" s="5"/>
      <c r="DUT4" s="5"/>
      <c r="DUU4" s="5"/>
      <c r="DUV4" s="5"/>
      <c r="DUW4" s="5"/>
      <c r="DUX4" s="5"/>
      <c r="DUY4" s="5"/>
      <c r="DUZ4" s="5"/>
      <c r="DVA4" s="5"/>
      <c r="DVB4" s="5"/>
      <c r="DVC4" s="5"/>
      <c r="DVD4" s="5"/>
      <c r="DVE4" s="5"/>
      <c r="DVF4" s="5"/>
      <c r="DVG4" s="5"/>
      <c r="DVH4" s="5"/>
      <c r="DVI4" s="5"/>
      <c r="DVJ4" s="5"/>
      <c r="DVK4" s="5"/>
      <c r="DVL4" s="5"/>
      <c r="DVM4" s="5"/>
      <c r="DVN4" s="5"/>
      <c r="DVO4" s="5"/>
      <c r="DVP4" s="5"/>
      <c r="DVQ4" s="5"/>
      <c r="DVR4" s="5"/>
      <c r="DVS4" s="5"/>
      <c r="DVT4" s="5"/>
      <c r="DVU4" s="5"/>
      <c r="DVV4" s="5"/>
      <c r="DVW4" s="5"/>
      <c r="DVX4" s="5"/>
      <c r="DVY4" s="5"/>
      <c r="DVZ4" s="5"/>
      <c r="DWA4" s="5"/>
      <c r="DWB4" s="5"/>
      <c r="DWC4" s="5"/>
      <c r="DWD4" s="5"/>
      <c r="DWE4" s="5"/>
      <c r="DWF4" s="5"/>
      <c r="DWG4" s="5"/>
      <c r="DWH4" s="5"/>
      <c r="DWI4" s="5"/>
      <c r="DWJ4" s="5"/>
      <c r="DWK4" s="5"/>
      <c r="DWL4" s="5"/>
      <c r="DWM4" s="5"/>
      <c r="DWN4" s="5"/>
      <c r="DWO4" s="5"/>
      <c r="DWP4" s="5"/>
      <c r="DWQ4" s="5"/>
      <c r="DWR4" s="5"/>
      <c r="DWS4" s="5"/>
      <c r="DWT4" s="5"/>
      <c r="DWU4" s="5"/>
      <c r="DWV4" s="5"/>
      <c r="DWW4" s="5"/>
      <c r="DWX4" s="5"/>
      <c r="DWY4" s="5"/>
      <c r="DWZ4" s="5"/>
      <c r="DXA4" s="5"/>
      <c r="DXB4" s="5"/>
      <c r="DXC4" s="5"/>
      <c r="DXD4" s="5"/>
      <c r="DXE4" s="5"/>
      <c r="DXF4" s="5"/>
      <c r="DXG4" s="5"/>
      <c r="DXH4" s="5"/>
      <c r="DXI4" s="5"/>
      <c r="DXJ4" s="5"/>
      <c r="DXK4" s="5"/>
      <c r="DXL4" s="5"/>
      <c r="DXM4" s="5"/>
      <c r="DXN4" s="5"/>
      <c r="DXO4" s="5"/>
      <c r="DXP4" s="5"/>
      <c r="DXQ4" s="5"/>
      <c r="DXR4" s="5"/>
      <c r="DXS4" s="5"/>
      <c r="DXT4" s="5"/>
      <c r="DXU4" s="5"/>
      <c r="DXV4" s="5"/>
      <c r="DXW4" s="5"/>
      <c r="DXX4" s="5"/>
      <c r="DXY4" s="5"/>
      <c r="DXZ4" s="5"/>
      <c r="DYA4" s="5"/>
      <c r="DYB4" s="5"/>
      <c r="DYC4" s="5"/>
      <c r="DYD4" s="5"/>
      <c r="DYE4" s="5"/>
      <c r="DYF4" s="5"/>
      <c r="DYG4" s="5"/>
      <c r="DYH4" s="5"/>
      <c r="DYI4" s="5"/>
      <c r="DYJ4" s="5"/>
      <c r="DYK4" s="5"/>
      <c r="DYL4" s="5"/>
      <c r="DYM4" s="5"/>
      <c r="DYN4" s="5"/>
      <c r="DYO4" s="5"/>
      <c r="DYP4" s="5"/>
      <c r="DYQ4" s="5"/>
      <c r="DYR4" s="5"/>
      <c r="DYS4" s="5"/>
      <c r="DYT4" s="5"/>
      <c r="DYU4" s="5"/>
      <c r="DYV4" s="5"/>
      <c r="DYW4" s="5"/>
      <c r="DYX4" s="5"/>
      <c r="DYY4" s="5"/>
      <c r="DYZ4" s="5"/>
      <c r="DZA4" s="5"/>
      <c r="DZB4" s="5"/>
      <c r="DZC4" s="5"/>
      <c r="DZD4" s="5"/>
      <c r="DZE4" s="5"/>
      <c r="DZF4" s="5"/>
      <c r="DZG4" s="5"/>
      <c r="DZH4" s="5"/>
      <c r="DZI4" s="5"/>
      <c r="DZJ4" s="5"/>
      <c r="DZK4" s="5"/>
      <c r="DZL4" s="5"/>
      <c r="DZM4" s="5"/>
      <c r="DZN4" s="5"/>
      <c r="DZO4" s="5"/>
      <c r="DZP4" s="5"/>
      <c r="DZQ4" s="5"/>
      <c r="DZR4" s="5"/>
      <c r="DZS4" s="5"/>
      <c r="DZT4" s="5"/>
      <c r="DZU4" s="5"/>
      <c r="DZV4" s="5"/>
      <c r="DZW4" s="5"/>
      <c r="DZX4" s="5"/>
      <c r="DZY4" s="5"/>
      <c r="DZZ4" s="5"/>
      <c r="EAA4" s="5"/>
      <c r="EAB4" s="5"/>
      <c r="EAC4" s="5"/>
      <c r="EAD4" s="5"/>
      <c r="EAE4" s="5"/>
      <c r="EAF4" s="5"/>
      <c r="EAG4" s="5"/>
      <c r="EAH4" s="5"/>
      <c r="EAI4" s="5"/>
      <c r="EAJ4" s="5"/>
      <c r="EAK4" s="5"/>
      <c r="EAL4" s="5"/>
      <c r="EAM4" s="5"/>
      <c r="EAN4" s="5"/>
      <c r="EAO4" s="5"/>
      <c r="EAP4" s="5"/>
      <c r="EAQ4" s="5"/>
      <c r="EAR4" s="5"/>
      <c r="EAS4" s="5"/>
      <c r="EAT4" s="5"/>
      <c r="EAU4" s="5"/>
      <c r="EAV4" s="5"/>
      <c r="EAW4" s="5"/>
      <c r="EAX4" s="5"/>
      <c r="EAY4" s="5"/>
      <c r="EAZ4" s="5"/>
      <c r="EBA4" s="5"/>
      <c r="EBB4" s="5"/>
      <c r="EBC4" s="5"/>
      <c r="EBD4" s="5"/>
      <c r="EBE4" s="5"/>
      <c r="EBF4" s="5"/>
      <c r="EBG4" s="5"/>
      <c r="EBH4" s="5"/>
      <c r="EBI4" s="5"/>
      <c r="EBJ4" s="5"/>
      <c r="EBK4" s="5"/>
      <c r="EBL4" s="5"/>
      <c r="EBM4" s="5"/>
      <c r="EBN4" s="5"/>
      <c r="EBO4" s="5"/>
      <c r="EBP4" s="5"/>
      <c r="EBQ4" s="5"/>
      <c r="EBR4" s="5"/>
      <c r="EBS4" s="5"/>
      <c r="EBT4" s="5"/>
      <c r="EBU4" s="5"/>
      <c r="EBV4" s="5"/>
      <c r="EBW4" s="5"/>
      <c r="EBX4" s="5"/>
      <c r="EBY4" s="5"/>
      <c r="EBZ4" s="5"/>
      <c r="ECA4" s="5"/>
      <c r="ECB4" s="5"/>
      <c r="ECC4" s="5"/>
      <c r="ECD4" s="5"/>
      <c r="ECE4" s="5"/>
      <c r="ECF4" s="5"/>
      <c r="ECG4" s="5"/>
      <c r="ECH4" s="5"/>
      <c r="ECI4" s="5"/>
      <c r="ECJ4" s="5"/>
      <c r="ECK4" s="5"/>
      <c r="ECL4" s="5"/>
      <c r="ECM4" s="5"/>
      <c r="ECN4" s="5"/>
      <c r="ECO4" s="5"/>
      <c r="ECP4" s="5"/>
      <c r="ECQ4" s="5"/>
      <c r="ECR4" s="5"/>
      <c r="ECS4" s="5"/>
      <c r="ECT4" s="5"/>
      <c r="ECU4" s="5"/>
      <c r="ECV4" s="5"/>
      <c r="ECW4" s="5"/>
      <c r="ECX4" s="5"/>
      <c r="ECY4" s="5"/>
      <c r="ECZ4" s="5"/>
      <c r="EDA4" s="5"/>
      <c r="EDB4" s="5"/>
      <c r="EDC4" s="5"/>
      <c r="EDD4" s="5"/>
      <c r="EDE4" s="5"/>
      <c r="EDF4" s="5"/>
      <c r="EDG4" s="5"/>
      <c r="EDH4" s="5"/>
      <c r="EDI4" s="5"/>
      <c r="EDJ4" s="5"/>
      <c r="EDK4" s="5"/>
      <c r="EDL4" s="5"/>
      <c r="EDM4" s="5"/>
      <c r="EDN4" s="5"/>
      <c r="EDO4" s="5"/>
      <c r="EDP4" s="5"/>
      <c r="EDQ4" s="5"/>
      <c r="EDR4" s="5"/>
      <c r="EDS4" s="5"/>
      <c r="EDT4" s="5"/>
      <c r="EDU4" s="5"/>
      <c r="EDV4" s="5"/>
      <c r="EDW4" s="5"/>
      <c r="EDX4" s="5"/>
      <c r="EDY4" s="5"/>
      <c r="EDZ4" s="5"/>
      <c r="EEA4" s="5"/>
      <c r="EEB4" s="5"/>
      <c r="EEC4" s="5"/>
      <c r="EED4" s="5"/>
      <c r="EEE4" s="5"/>
      <c r="EEF4" s="5"/>
      <c r="EEG4" s="5"/>
      <c r="EEH4" s="5"/>
      <c r="EEI4" s="5"/>
      <c r="EEJ4" s="5"/>
      <c r="EEK4" s="5"/>
      <c r="EEL4" s="5"/>
      <c r="EEM4" s="5"/>
      <c r="EEN4" s="5"/>
      <c r="EEO4" s="5"/>
      <c r="EEP4" s="5"/>
      <c r="EEQ4" s="5"/>
      <c r="EER4" s="5"/>
      <c r="EES4" s="5"/>
      <c r="EET4" s="5"/>
      <c r="EEU4" s="5"/>
      <c r="EEV4" s="5"/>
      <c r="EEW4" s="5"/>
      <c r="EEX4" s="5"/>
      <c r="EEY4" s="5"/>
      <c r="EEZ4" s="5"/>
      <c r="EFA4" s="5"/>
      <c r="EFB4" s="5"/>
      <c r="EFC4" s="5"/>
      <c r="EFD4" s="5"/>
      <c r="EFE4" s="5"/>
      <c r="EFF4" s="5"/>
      <c r="EFG4" s="5"/>
      <c r="EFH4" s="5"/>
      <c r="EFI4" s="5"/>
      <c r="EFJ4" s="5"/>
      <c r="EFK4" s="5"/>
      <c r="EFL4" s="5"/>
      <c r="EFM4" s="5"/>
      <c r="EFN4" s="5"/>
      <c r="EFO4" s="5"/>
      <c r="EFP4" s="5"/>
      <c r="EFQ4" s="5"/>
      <c r="EFR4" s="5"/>
      <c r="EFS4" s="5"/>
      <c r="EFT4" s="5"/>
      <c r="EFU4" s="5"/>
      <c r="EFV4" s="5"/>
      <c r="EFW4" s="5"/>
      <c r="EFX4" s="5"/>
      <c r="EFY4" s="5"/>
      <c r="EFZ4" s="5"/>
      <c r="EGA4" s="5"/>
      <c r="EGB4" s="5"/>
      <c r="EGC4" s="5"/>
      <c r="EGD4" s="5"/>
      <c r="EGE4" s="5"/>
      <c r="EGF4" s="5"/>
      <c r="EGG4" s="5"/>
      <c r="EGH4" s="5"/>
      <c r="EGI4" s="5"/>
      <c r="EGJ4" s="5"/>
      <c r="EGK4" s="5"/>
      <c r="EGL4" s="5"/>
      <c r="EGM4" s="5"/>
      <c r="EGN4" s="5"/>
      <c r="EGO4" s="5"/>
      <c r="EGP4" s="5"/>
      <c r="EGQ4" s="5"/>
      <c r="EGR4" s="5"/>
      <c r="EGS4" s="5"/>
      <c r="EGT4" s="5"/>
      <c r="EGU4" s="5"/>
      <c r="EGV4" s="5"/>
      <c r="EGW4" s="5"/>
      <c r="EGX4" s="5"/>
      <c r="EGY4" s="5"/>
      <c r="EGZ4" s="5"/>
      <c r="EHA4" s="5"/>
      <c r="EHB4" s="5"/>
      <c r="EHC4" s="5"/>
      <c r="EHD4" s="5"/>
      <c r="EHE4" s="5"/>
      <c r="EHF4" s="5"/>
      <c r="EHG4" s="5"/>
      <c r="EHH4" s="5"/>
      <c r="EHI4" s="5"/>
      <c r="EHJ4" s="5"/>
      <c r="EHK4" s="5"/>
      <c r="EHL4" s="5"/>
      <c r="EHM4" s="5"/>
      <c r="EHN4" s="5"/>
      <c r="EHO4" s="5"/>
      <c r="EHP4" s="5"/>
      <c r="EHQ4" s="5"/>
      <c r="EHR4" s="5"/>
      <c r="EHS4" s="5"/>
      <c r="EHT4" s="5"/>
      <c r="EHU4" s="5"/>
      <c r="EHV4" s="5"/>
      <c r="EHW4" s="5"/>
      <c r="EHX4" s="5"/>
      <c r="EHY4" s="5"/>
      <c r="EHZ4" s="5"/>
      <c r="EIA4" s="5"/>
      <c r="EIB4" s="5"/>
      <c r="EIC4" s="5"/>
      <c r="EID4" s="5"/>
      <c r="EIE4" s="5"/>
      <c r="EIF4" s="5"/>
      <c r="EIG4" s="5"/>
      <c r="EIH4" s="5"/>
      <c r="EII4" s="5"/>
      <c r="EIJ4" s="5"/>
      <c r="EIK4" s="5"/>
      <c r="EIL4" s="5"/>
      <c r="EIM4" s="5"/>
      <c r="EIN4" s="5"/>
      <c r="EIO4" s="5"/>
      <c r="EIP4" s="5"/>
      <c r="EIQ4" s="5"/>
      <c r="EIR4" s="5"/>
      <c r="EIS4" s="5"/>
      <c r="EIT4" s="5"/>
      <c r="EIU4" s="5"/>
      <c r="EIV4" s="5"/>
      <c r="EIW4" s="5"/>
      <c r="EIX4" s="5"/>
      <c r="EIY4" s="5"/>
      <c r="EIZ4" s="5"/>
      <c r="EJA4" s="5"/>
      <c r="EJB4" s="5"/>
      <c r="EJC4" s="5"/>
      <c r="EJD4" s="5"/>
      <c r="EJE4" s="5"/>
      <c r="EJF4" s="5"/>
      <c r="EJG4" s="5"/>
      <c r="EJH4" s="5"/>
      <c r="EJI4" s="5"/>
      <c r="EJJ4" s="5"/>
      <c r="EJK4" s="5"/>
      <c r="EJL4" s="5"/>
      <c r="EJM4" s="5"/>
      <c r="EJN4" s="5"/>
      <c r="EJO4" s="5"/>
      <c r="EJP4" s="5"/>
      <c r="EJQ4" s="5"/>
      <c r="EJR4" s="5"/>
      <c r="EJS4" s="5"/>
      <c r="EJT4" s="5"/>
      <c r="EJU4" s="5"/>
      <c r="EJV4" s="5"/>
      <c r="EJW4" s="5"/>
      <c r="EJX4" s="5"/>
      <c r="EJY4" s="5"/>
      <c r="EJZ4" s="5"/>
      <c r="EKA4" s="5"/>
      <c r="EKB4" s="5"/>
      <c r="EKC4" s="5"/>
      <c r="EKD4" s="5"/>
      <c r="EKE4" s="5"/>
      <c r="EKF4" s="5"/>
      <c r="EKG4" s="5"/>
      <c r="EKH4" s="5"/>
      <c r="EKI4" s="5"/>
      <c r="EKJ4" s="5"/>
      <c r="EKK4" s="5"/>
      <c r="EKL4" s="5"/>
      <c r="EKM4" s="5"/>
      <c r="EKN4" s="5"/>
      <c r="EKO4" s="5"/>
      <c r="EKP4" s="5"/>
      <c r="EKQ4" s="5"/>
      <c r="EKR4" s="5"/>
      <c r="EKS4" s="5"/>
      <c r="EKT4" s="5"/>
      <c r="EKU4" s="5"/>
      <c r="EKV4" s="5"/>
      <c r="EKW4" s="5"/>
      <c r="EKX4" s="5"/>
      <c r="EKY4" s="5"/>
      <c r="EKZ4" s="5"/>
      <c r="ELA4" s="5"/>
      <c r="ELB4" s="5"/>
      <c r="ELC4" s="5"/>
      <c r="ELD4" s="5"/>
      <c r="ELE4" s="5"/>
      <c r="ELF4" s="5"/>
      <c r="ELG4" s="5"/>
      <c r="ELH4" s="5"/>
      <c r="ELI4" s="5"/>
      <c r="ELJ4" s="5"/>
      <c r="ELK4" s="5"/>
      <c r="ELL4" s="5"/>
      <c r="ELM4" s="5"/>
      <c r="ELN4" s="5"/>
      <c r="ELO4" s="5"/>
      <c r="ELP4" s="5"/>
      <c r="ELQ4" s="5"/>
      <c r="ELR4" s="5"/>
      <c r="ELS4" s="5"/>
      <c r="ELT4" s="5"/>
      <c r="ELU4" s="5"/>
      <c r="ELV4" s="5"/>
      <c r="ELW4" s="5"/>
      <c r="ELX4" s="5"/>
      <c r="ELY4" s="5"/>
      <c r="ELZ4" s="5"/>
      <c r="EMA4" s="5"/>
      <c r="EMB4" s="5"/>
      <c r="EMC4" s="5"/>
      <c r="EMD4" s="5"/>
      <c r="EME4" s="5"/>
      <c r="EMF4" s="5"/>
      <c r="EMG4" s="5"/>
      <c r="EMH4" s="5"/>
      <c r="EMI4" s="5"/>
      <c r="EMJ4" s="5"/>
      <c r="EMK4" s="5"/>
      <c r="EML4" s="5"/>
      <c r="EMM4" s="5"/>
      <c r="EMN4" s="5"/>
      <c r="EMO4" s="5"/>
      <c r="EMP4" s="5"/>
      <c r="EMQ4" s="5"/>
      <c r="EMR4" s="5"/>
      <c r="EMS4" s="5"/>
      <c r="EMT4" s="5"/>
      <c r="EMU4" s="5"/>
      <c r="EMV4" s="5"/>
      <c r="EMW4" s="5"/>
      <c r="EMX4" s="5"/>
      <c r="EMY4" s="5"/>
      <c r="EMZ4" s="5"/>
      <c r="ENA4" s="5"/>
      <c r="ENB4" s="5"/>
      <c r="ENC4" s="5"/>
      <c r="END4" s="5"/>
      <c r="ENE4" s="5"/>
      <c r="ENF4" s="5"/>
      <c r="ENG4" s="5"/>
      <c r="ENH4" s="5"/>
      <c r="ENI4" s="5"/>
      <c r="ENJ4" s="5"/>
      <c r="ENK4" s="5"/>
      <c r="ENL4" s="5"/>
      <c r="ENM4" s="5"/>
      <c r="ENN4" s="5"/>
      <c r="ENO4" s="5"/>
      <c r="ENP4" s="5"/>
      <c r="ENQ4" s="5"/>
      <c r="ENR4" s="5"/>
      <c r="ENS4" s="5"/>
      <c r="ENT4" s="5"/>
      <c r="ENU4" s="5"/>
      <c r="ENV4" s="5"/>
      <c r="ENW4" s="5"/>
      <c r="ENX4" s="5"/>
      <c r="ENY4" s="5"/>
      <c r="ENZ4" s="5"/>
      <c r="EOA4" s="5"/>
      <c r="EOB4" s="5"/>
      <c r="EOC4" s="5"/>
      <c r="EOD4" s="5"/>
      <c r="EOE4" s="5"/>
      <c r="EOF4" s="5"/>
      <c r="EOG4" s="5"/>
      <c r="EOH4" s="5"/>
      <c r="EOI4" s="5"/>
      <c r="EOJ4" s="5"/>
      <c r="EOK4" s="5"/>
      <c r="EOL4" s="5"/>
      <c r="EOM4" s="5"/>
      <c r="EON4" s="5"/>
      <c r="EOO4" s="5"/>
      <c r="EOP4" s="5"/>
      <c r="EOQ4" s="5"/>
      <c r="EOR4" s="5"/>
      <c r="EOS4" s="5"/>
      <c r="EOT4" s="5"/>
      <c r="EOU4" s="5"/>
      <c r="EOV4" s="5"/>
      <c r="EOW4" s="5"/>
      <c r="EOX4" s="5"/>
      <c r="EOY4" s="5"/>
      <c r="EOZ4" s="5"/>
      <c r="EPA4" s="5"/>
      <c r="EPB4" s="5"/>
      <c r="EPC4" s="5"/>
      <c r="EPD4" s="5"/>
      <c r="EPE4" s="5"/>
      <c r="EPF4" s="5"/>
      <c r="EPG4" s="5"/>
      <c r="EPH4" s="5"/>
      <c r="EPI4" s="5"/>
      <c r="EPJ4" s="5"/>
      <c r="EPK4" s="5"/>
      <c r="EPL4" s="5"/>
      <c r="EPM4" s="5"/>
      <c r="EPN4" s="5"/>
      <c r="EPO4" s="5"/>
      <c r="EPP4" s="5"/>
      <c r="EPQ4" s="5"/>
      <c r="EPR4" s="5"/>
      <c r="EPS4" s="5"/>
      <c r="EPT4" s="5"/>
      <c r="EPU4" s="5"/>
      <c r="EPV4" s="5"/>
      <c r="EPW4" s="5"/>
      <c r="EPX4" s="5"/>
      <c r="EPY4" s="5"/>
      <c r="EPZ4" s="5"/>
      <c r="EQA4" s="5"/>
      <c r="EQB4" s="5"/>
      <c r="EQC4" s="5"/>
      <c r="EQD4" s="5"/>
      <c r="EQE4" s="5"/>
      <c r="EQF4" s="5"/>
      <c r="EQG4" s="5"/>
      <c r="EQH4" s="5"/>
      <c r="EQI4" s="5"/>
      <c r="EQJ4" s="5"/>
      <c r="EQK4" s="5"/>
      <c r="EQL4" s="5"/>
      <c r="EQM4" s="5"/>
      <c r="EQN4" s="5"/>
      <c r="EQO4" s="5"/>
      <c r="EQP4" s="5"/>
      <c r="EQQ4" s="5"/>
      <c r="EQR4" s="5"/>
      <c r="EQS4" s="5"/>
      <c r="EQT4" s="5"/>
      <c r="EQU4" s="5"/>
      <c r="EQV4" s="5"/>
      <c r="EQW4" s="5"/>
      <c r="EQX4" s="5"/>
      <c r="EQY4" s="5"/>
      <c r="EQZ4" s="5"/>
      <c r="ERA4" s="5"/>
      <c r="ERB4" s="5"/>
      <c r="ERC4" s="5"/>
      <c r="ERD4" s="5"/>
      <c r="ERE4" s="5"/>
      <c r="ERF4" s="5"/>
      <c r="ERG4" s="5"/>
      <c r="ERH4" s="5"/>
      <c r="ERI4" s="5"/>
      <c r="ERJ4" s="5"/>
      <c r="ERK4" s="5"/>
      <c r="ERL4" s="5"/>
      <c r="ERM4" s="5"/>
      <c r="ERN4" s="5"/>
      <c r="ERO4" s="5"/>
      <c r="ERP4" s="5"/>
      <c r="ERQ4" s="5"/>
      <c r="ERR4" s="5"/>
      <c r="ERS4" s="5"/>
      <c r="ERT4" s="5"/>
      <c r="ERU4" s="5"/>
      <c r="ERV4" s="5"/>
      <c r="ERW4" s="5"/>
      <c r="ERX4" s="5"/>
      <c r="ERY4" s="5"/>
      <c r="ERZ4" s="5"/>
      <c r="ESA4" s="5"/>
      <c r="ESB4" s="5"/>
      <c r="ESC4" s="5"/>
      <c r="ESD4" s="5"/>
      <c r="ESE4" s="5"/>
      <c r="ESF4" s="5"/>
      <c r="ESG4" s="5"/>
      <c r="ESH4" s="5"/>
      <c r="ESI4" s="5"/>
      <c r="ESJ4" s="5"/>
      <c r="ESK4" s="5"/>
      <c r="ESL4" s="5"/>
      <c r="ESM4" s="5"/>
      <c r="ESN4" s="5"/>
      <c r="ESO4" s="5"/>
      <c r="ESP4" s="5"/>
      <c r="ESQ4" s="5"/>
      <c r="ESR4" s="5"/>
      <c r="ESS4" s="5"/>
      <c r="EST4" s="5"/>
      <c r="ESU4" s="5"/>
      <c r="ESV4" s="5"/>
      <c r="ESW4" s="5"/>
      <c r="ESX4" s="5"/>
      <c r="ESY4" s="5"/>
      <c r="ESZ4" s="5"/>
      <c r="ETA4" s="5"/>
      <c r="ETB4" s="5"/>
      <c r="ETC4" s="5"/>
      <c r="ETD4" s="5"/>
      <c r="ETE4" s="5"/>
      <c r="ETF4" s="5"/>
      <c r="ETG4" s="5"/>
      <c r="ETH4" s="5"/>
      <c r="ETI4" s="5"/>
      <c r="ETJ4" s="5"/>
      <c r="ETK4" s="5"/>
      <c r="ETL4" s="5"/>
      <c r="ETM4" s="5"/>
      <c r="ETN4" s="5"/>
      <c r="ETO4" s="5"/>
      <c r="ETP4" s="5"/>
      <c r="ETQ4" s="5"/>
      <c r="ETR4" s="5"/>
      <c r="ETS4" s="5"/>
      <c r="ETT4" s="5"/>
      <c r="ETU4" s="5"/>
      <c r="ETV4" s="5"/>
      <c r="ETW4" s="5"/>
      <c r="ETX4" s="5"/>
      <c r="ETY4" s="5"/>
      <c r="ETZ4" s="5"/>
      <c r="EUA4" s="5"/>
      <c r="EUB4" s="5"/>
      <c r="EUC4" s="5"/>
      <c r="EUD4" s="5"/>
      <c r="EUE4" s="5"/>
      <c r="EUF4" s="5"/>
      <c r="EUG4" s="5"/>
      <c r="EUH4" s="5"/>
      <c r="EUI4" s="5"/>
      <c r="EUJ4" s="5"/>
      <c r="EUK4" s="5"/>
      <c r="EUL4" s="5"/>
      <c r="EUM4" s="5"/>
      <c r="EUN4" s="5"/>
      <c r="EUO4" s="5"/>
      <c r="EUP4" s="5"/>
      <c r="EUQ4" s="5"/>
      <c r="EUR4" s="5"/>
      <c r="EUS4" s="5"/>
      <c r="EUT4" s="5"/>
      <c r="EUU4" s="5"/>
      <c r="EUV4" s="5"/>
      <c r="EUW4" s="5"/>
      <c r="EUX4" s="5"/>
      <c r="EUY4" s="5"/>
      <c r="EUZ4" s="5"/>
      <c r="EVA4" s="5"/>
      <c r="EVB4" s="5"/>
      <c r="EVC4" s="5"/>
      <c r="EVD4" s="5"/>
      <c r="EVE4" s="5"/>
      <c r="EVF4" s="5"/>
      <c r="EVG4" s="5"/>
      <c r="EVH4" s="5"/>
      <c r="EVI4" s="5"/>
      <c r="EVJ4" s="5"/>
      <c r="EVK4" s="5"/>
      <c r="EVL4" s="5"/>
      <c r="EVM4" s="5"/>
      <c r="EVN4" s="5"/>
      <c r="EVO4" s="5"/>
      <c r="EVP4" s="5"/>
      <c r="EVQ4" s="5"/>
      <c r="EVR4" s="5"/>
      <c r="EVS4" s="5"/>
      <c r="EVT4" s="5"/>
      <c r="EVU4" s="5"/>
      <c r="EVV4" s="5"/>
      <c r="EVW4" s="5"/>
      <c r="EVX4" s="5"/>
      <c r="EVY4" s="5"/>
      <c r="EVZ4" s="5"/>
      <c r="EWA4" s="5"/>
      <c r="EWB4" s="5"/>
      <c r="EWC4" s="5"/>
      <c r="EWD4" s="5"/>
      <c r="EWE4" s="5"/>
      <c r="EWF4" s="5"/>
      <c r="EWG4" s="5"/>
      <c r="EWH4" s="5"/>
      <c r="EWI4" s="5"/>
      <c r="EWJ4" s="5"/>
      <c r="EWK4" s="5"/>
      <c r="EWL4" s="5"/>
      <c r="EWM4" s="5"/>
      <c r="EWN4" s="5"/>
      <c r="EWO4" s="5"/>
      <c r="EWP4" s="5"/>
      <c r="EWQ4" s="5"/>
      <c r="EWR4" s="5"/>
      <c r="EWS4" s="5"/>
      <c r="EWT4" s="5"/>
      <c r="EWU4" s="5"/>
      <c r="EWV4" s="5"/>
      <c r="EWW4" s="5"/>
      <c r="EWX4" s="5"/>
      <c r="EWY4" s="5"/>
      <c r="EWZ4" s="5"/>
      <c r="EXA4" s="5"/>
      <c r="EXB4" s="5"/>
      <c r="EXC4" s="5"/>
      <c r="EXD4" s="5"/>
      <c r="EXE4" s="5"/>
      <c r="EXF4" s="5"/>
      <c r="EXG4" s="5"/>
      <c r="EXH4" s="5"/>
      <c r="EXI4" s="5"/>
      <c r="EXJ4" s="5"/>
      <c r="EXK4" s="5"/>
      <c r="EXL4" s="5"/>
      <c r="EXM4" s="5"/>
      <c r="EXN4" s="5"/>
      <c r="EXO4" s="5"/>
      <c r="EXP4" s="5"/>
      <c r="EXQ4" s="5"/>
      <c r="EXR4" s="5"/>
      <c r="EXS4" s="5"/>
      <c r="EXT4" s="5"/>
      <c r="EXU4" s="5"/>
      <c r="EXV4" s="5"/>
      <c r="EXW4" s="5"/>
      <c r="EXX4" s="5"/>
      <c r="EXY4" s="5"/>
      <c r="EXZ4" s="5"/>
      <c r="EYA4" s="5"/>
      <c r="EYB4" s="5"/>
      <c r="EYC4" s="5"/>
      <c r="EYD4" s="5"/>
      <c r="EYE4" s="5"/>
      <c r="EYF4" s="5"/>
      <c r="EYG4" s="5"/>
      <c r="EYH4" s="5"/>
      <c r="EYI4" s="5"/>
      <c r="EYJ4" s="5"/>
      <c r="EYK4" s="5"/>
      <c r="EYL4" s="5"/>
      <c r="EYM4" s="5"/>
      <c r="EYN4" s="5"/>
      <c r="EYO4" s="5"/>
      <c r="EYP4" s="5"/>
      <c r="EYQ4" s="5"/>
      <c r="EYR4" s="5"/>
      <c r="EYS4" s="5"/>
      <c r="EYT4" s="5"/>
      <c r="EYU4" s="5"/>
      <c r="EYV4" s="5"/>
      <c r="EYW4" s="5"/>
      <c r="EYX4" s="5"/>
      <c r="EYY4" s="5"/>
      <c r="EYZ4" s="5"/>
      <c r="EZA4" s="5"/>
      <c r="EZB4" s="5"/>
      <c r="EZC4" s="5"/>
      <c r="EZD4" s="5"/>
      <c r="EZE4" s="5"/>
      <c r="EZF4" s="5"/>
      <c r="EZG4" s="5"/>
      <c r="EZH4" s="5"/>
      <c r="EZI4" s="5"/>
      <c r="EZJ4" s="5"/>
      <c r="EZK4" s="5"/>
      <c r="EZL4" s="5"/>
      <c r="EZM4" s="5"/>
      <c r="EZN4" s="5"/>
      <c r="EZO4" s="5"/>
      <c r="EZP4" s="5"/>
      <c r="EZQ4" s="5"/>
      <c r="EZR4" s="5"/>
      <c r="EZS4" s="5"/>
      <c r="EZT4" s="5"/>
      <c r="EZU4" s="5"/>
      <c r="EZV4" s="5"/>
      <c r="EZW4" s="5"/>
      <c r="EZX4" s="5"/>
      <c r="EZY4" s="5"/>
      <c r="EZZ4" s="5"/>
      <c r="FAA4" s="5"/>
      <c r="FAB4" s="5"/>
      <c r="FAC4" s="5"/>
      <c r="FAD4" s="5"/>
      <c r="FAE4" s="5"/>
      <c r="FAF4" s="5"/>
      <c r="FAG4" s="5"/>
      <c r="FAH4" s="5"/>
      <c r="FAI4" s="5"/>
      <c r="FAJ4" s="5"/>
      <c r="FAK4" s="5"/>
      <c r="FAL4" s="5"/>
      <c r="FAM4" s="5"/>
      <c r="FAN4" s="5"/>
      <c r="FAO4" s="5"/>
      <c r="FAP4" s="5"/>
      <c r="FAQ4" s="5"/>
      <c r="FAR4" s="5"/>
      <c r="FAS4" s="5"/>
      <c r="FAT4" s="5"/>
      <c r="FAU4" s="5"/>
      <c r="FAV4" s="5"/>
      <c r="FAW4" s="5"/>
      <c r="FAX4" s="5"/>
      <c r="FAY4" s="5"/>
      <c r="FAZ4" s="5"/>
      <c r="FBA4" s="5"/>
      <c r="FBB4" s="5"/>
      <c r="FBC4" s="5"/>
      <c r="FBD4" s="5"/>
      <c r="FBE4" s="5"/>
      <c r="FBF4" s="5"/>
      <c r="FBG4" s="5"/>
      <c r="FBH4" s="5"/>
      <c r="FBI4" s="5"/>
      <c r="FBJ4" s="5"/>
      <c r="FBK4" s="5"/>
      <c r="FBL4" s="5"/>
      <c r="FBM4" s="5"/>
      <c r="FBN4" s="5"/>
      <c r="FBO4" s="5"/>
      <c r="FBP4" s="5"/>
      <c r="FBQ4" s="5"/>
      <c r="FBR4" s="5"/>
      <c r="FBS4" s="5"/>
      <c r="FBT4" s="5"/>
      <c r="FBU4" s="5"/>
      <c r="FBV4" s="5"/>
      <c r="FBW4" s="5"/>
      <c r="FBX4" s="5"/>
      <c r="FBY4" s="5"/>
      <c r="FBZ4" s="5"/>
      <c r="FCA4" s="5"/>
      <c r="FCB4" s="5"/>
      <c r="FCC4" s="5"/>
      <c r="FCD4" s="5"/>
      <c r="FCE4" s="5"/>
      <c r="FCF4" s="5"/>
      <c r="FCG4" s="5"/>
      <c r="FCH4" s="5"/>
      <c r="FCI4" s="5"/>
      <c r="FCJ4" s="5"/>
      <c r="FCK4" s="5"/>
      <c r="FCL4" s="5"/>
      <c r="FCM4" s="5"/>
      <c r="FCN4" s="5"/>
      <c r="FCO4" s="5"/>
      <c r="FCP4" s="5"/>
      <c r="FCQ4" s="5"/>
      <c r="FCR4" s="5"/>
      <c r="FCS4" s="5"/>
      <c r="FCT4" s="5"/>
      <c r="FCU4" s="5"/>
      <c r="FCV4" s="5"/>
      <c r="FCW4" s="5"/>
      <c r="FCX4" s="5"/>
      <c r="FCY4" s="5"/>
      <c r="FCZ4" s="5"/>
      <c r="FDA4" s="5"/>
      <c r="FDB4" s="5"/>
      <c r="FDC4" s="5"/>
      <c r="FDD4" s="5"/>
      <c r="FDE4" s="5"/>
      <c r="FDF4" s="5"/>
      <c r="FDG4" s="5"/>
      <c r="FDH4" s="5"/>
      <c r="FDI4" s="5"/>
      <c r="FDJ4" s="5"/>
      <c r="FDK4" s="5"/>
      <c r="FDL4" s="5"/>
      <c r="FDM4" s="5"/>
      <c r="FDN4" s="5"/>
      <c r="FDO4" s="5"/>
      <c r="FDP4" s="5"/>
      <c r="FDQ4" s="5"/>
      <c r="FDR4" s="5"/>
      <c r="FDS4" s="5"/>
      <c r="FDT4" s="5"/>
      <c r="FDU4" s="5"/>
      <c r="FDV4" s="5"/>
      <c r="FDW4" s="5"/>
      <c r="FDX4" s="5"/>
      <c r="FDY4" s="5"/>
      <c r="FDZ4" s="5"/>
      <c r="FEA4" s="5"/>
      <c r="FEB4" s="5"/>
      <c r="FEC4" s="5"/>
      <c r="FED4" s="5"/>
      <c r="FEE4" s="5"/>
      <c r="FEF4" s="5"/>
      <c r="FEG4" s="5"/>
      <c r="FEH4" s="5"/>
      <c r="FEI4" s="5"/>
      <c r="FEJ4" s="5"/>
      <c r="FEK4" s="5"/>
      <c r="FEL4" s="5"/>
      <c r="FEM4" s="5"/>
      <c r="FEN4" s="5"/>
      <c r="FEO4" s="5"/>
      <c r="FEP4" s="5"/>
      <c r="FEQ4" s="5"/>
      <c r="FER4" s="5"/>
      <c r="FES4" s="5"/>
      <c r="FET4" s="5"/>
      <c r="FEU4" s="5"/>
      <c r="FEV4" s="5"/>
      <c r="FEW4" s="5"/>
      <c r="FEX4" s="5"/>
      <c r="FEY4" s="5"/>
      <c r="FEZ4" s="5"/>
      <c r="FFA4" s="5"/>
      <c r="FFB4" s="5"/>
      <c r="FFC4" s="5"/>
      <c r="FFD4" s="5"/>
      <c r="FFE4" s="5"/>
      <c r="FFF4" s="5"/>
      <c r="FFG4" s="5"/>
      <c r="FFH4" s="5"/>
      <c r="FFI4" s="5"/>
      <c r="FFJ4" s="5"/>
      <c r="FFK4" s="5"/>
      <c r="FFL4" s="5"/>
      <c r="FFM4" s="5"/>
      <c r="FFN4" s="5"/>
      <c r="FFO4" s="5"/>
      <c r="FFP4" s="5"/>
      <c r="FFQ4" s="5"/>
      <c r="FFR4" s="5"/>
      <c r="FFS4" s="5"/>
      <c r="FFT4" s="5"/>
      <c r="FFU4" s="5"/>
      <c r="FFV4" s="5"/>
      <c r="FFW4" s="5"/>
      <c r="FFX4" s="5"/>
      <c r="FFY4" s="5"/>
      <c r="FFZ4" s="5"/>
      <c r="FGA4" s="5"/>
      <c r="FGB4" s="5"/>
      <c r="FGC4" s="5"/>
      <c r="FGD4" s="5"/>
      <c r="FGE4" s="5"/>
      <c r="FGF4" s="5"/>
      <c r="FGG4" s="5"/>
      <c r="FGH4" s="5"/>
      <c r="FGI4" s="5"/>
      <c r="FGJ4" s="5"/>
      <c r="FGK4" s="5"/>
      <c r="FGL4" s="5"/>
      <c r="FGM4" s="5"/>
      <c r="FGN4" s="5"/>
      <c r="FGO4" s="5"/>
      <c r="FGP4" s="5"/>
      <c r="FGQ4" s="5"/>
      <c r="FGR4" s="5"/>
      <c r="FGS4" s="5"/>
      <c r="FGT4" s="5"/>
      <c r="FGU4" s="5"/>
      <c r="FGV4" s="5"/>
      <c r="FGW4" s="5"/>
      <c r="FGX4" s="5"/>
      <c r="FGY4" s="5"/>
      <c r="FGZ4" s="5"/>
      <c r="FHA4" s="5"/>
      <c r="FHB4" s="5"/>
      <c r="FHC4" s="5"/>
      <c r="FHD4" s="5"/>
      <c r="FHE4" s="5"/>
      <c r="FHF4" s="5"/>
      <c r="FHG4" s="5"/>
      <c r="FHH4" s="5"/>
      <c r="FHI4" s="5"/>
      <c r="FHJ4" s="5"/>
      <c r="FHK4" s="5"/>
      <c r="FHL4" s="5"/>
      <c r="FHM4" s="5"/>
      <c r="FHN4" s="5"/>
      <c r="FHO4" s="5"/>
      <c r="FHP4" s="5"/>
      <c r="FHQ4" s="5"/>
      <c r="FHR4" s="5"/>
      <c r="FHS4" s="5"/>
      <c r="FHT4" s="5"/>
      <c r="FHU4" s="5"/>
      <c r="FHV4" s="5"/>
      <c r="FHW4" s="5"/>
      <c r="FHX4" s="5"/>
      <c r="FHY4" s="5"/>
      <c r="FHZ4" s="5"/>
      <c r="FIA4" s="5"/>
      <c r="FIB4" s="5"/>
      <c r="FIC4" s="5"/>
      <c r="FID4" s="5"/>
      <c r="FIE4" s="5"/>
      <c r="FIF4" s="5"/>
      <c r="FIG4" s="5"/>
      <c r="FIH4" s="5"/>
      <c r="FII4" s="5"/>
      <c r="FIJ4" s="5"/>
      <c r="FIK4" s="5"/>
      <c r="FIL4" s="5"/>
      <c r="FIM4" s="5"/>
      <c r="FIN4" s="5"/>
      <c r="FIO4" s="5"/>
      <c r="FIP4" s="5"/>
      <c r="FIQ4" s="5"/>
      <c r="FIR4" s="5"/>
      <c r="FIS4" s="5"/>
      <c r="FIT4" s="5"/>
      <c r="FIU4" s="5"/>
      <c r="FIV4" s="5"/>
      <c r="FIW4" s="5"/>
      <c r="FIX4" s="5"/>
      <c r="FIY4" s="5"/>
      <c r="FIZ4" s="5"/>
      <c r="FJA4" s="5"/>
      <c r="FJB4" s="5"/>
      <c r="FJC4" s="5"/>
      <c r="FJD4" s="5"/>
      <c r="FJE4" s="5"/>
      <c r="FJF4" s="5"/>
      <c r="FJG4" s="5"/>
      <c r="FJH4" s="5"/>
      <c r="FJI4" s="5"/>
      <c r="FJJ4" s="5"/>
      <c r="FJK4" s="5"/>
      <c r="FJL4" s="5"/>
      <c r="FJM4" s="5"/>
      <c r="FJN4" s="5"/>
      <c r="FJO4" s="5"/>
      <c r="FJP4" s="5"/>
      <c r="FJQ4" s="5"/>
      <c r="FJR4" s="5"/>
      <c r="FJS4" s="5"/>
      <c r="FJT4" s="5"/>
      <c r="FJU4" s="5"/>
      <c r="FJV4" s="5"/>
      <c r="FJW4" s="5"/>
      <c r="FJX4" s="5"/>
      <c r="FJY4" s="5"/>
      <c r="FJZ4" s="5"/>
      <c r="FKA4" s="5"/>
      <c r="FKB4" s="5"/>
      <c r="FKC4" s="5"/>
      <c r="FKD4" s="5"/>
      <c r="FKE4" s="5"/>
      <c r="FKF4" s="5"/>
      <c r="FKG4" s="5"/>
      <c r="FKH4" s="5"/>
      <c r="FKI4" s="5"/>
      <c r="FKJ4" s="5"/>
      <c r="FKK4" s="5"/>
      <c r="FKL4" s="5"/>
      <c r="FKM4" s="5"/>
      <c r="FKN4" s="5"/>
      <c r="FKO4" s="5"/>
      <c r="FKP4" s="5"/>
      <c r="FKQ4" s="5"/>
      <c r="FKR4" s="5"/>
      <c r="FKS4" s="5"/>
      <c r="FKT4" s="5"/>
      <c r="FKU4" s="5"/>
      <c r="FKV4" s="5"/>
      <c r="FKW4" s="5"/>
      <c r="FKX4" s="5"/>
      <c r="FKY4" s="5"/>
      <c r="FKZ4" s="5"/>
      <c r="FLA4" s="5"/>
      <c r="FLB4" s="5"/>
      <c r="FLC4" s="5"/>
      <c r="FLD4" s="5"/>
      <c r="FLE4" s="5"/>
      <c r="FLF4" s="5"/>
      <c r="FLG4" s="5"/>
      <c r="FLH4" s="5"/>
      <c r="FLI4" s="5"/>
      <c r="FLJ4" s="5"/>
      <c r="FLK4" s="5"/>
      <c r="FLL4" s="5"/>
      <c r="FLM4" s="5"/>
      <c r="FLN4" s="5"/>
      <c r="FLO4" s="5"/>
      <c r="FLP4" s="5"/>
      <c r="FLQ4" s="5"/>
      <c r="FLR4" s="5"/>
      <c r="FLS4" s="5"/>
      <c r="FLT4" s="5"/>
      <c r="FLU4" s="5"/>
      <c r="FLV4" s="5"/>
      <c r="FLW4" s="5"/>
      <c r="FLX4" s="5"/>
      <c r="FLY4" s="5"/>
      <c r="FLZ4" s="5"/>
      <c r="FMA4" s="5"/>
      <c r="FMB4" s="5"/>
      <c r="FMC4" s="5"/>
      <c r="FMD4" s="5"/>
      <c r="FME4" s="5"/>
      <c r="FMF4" s="5"/>
      <c r="FMG4" s="5"/>
      <c r="FMH4" s="5"/>
      <c r="FMI4" s="5"/>
      <c r="FMJ4" s="5"/>
      <c r="FMK4" s="5"/>
      <c r="FML4" s="5"/>
      <c r="FMM4" s="5"/>
      <c r="FMN4" s="5"/>
      <c r="FMO4" s="5"/>
      <c r="FMP4" s="5"/>
      <c r="FMQ4" s="5"/>
      <c r="FMR4" s="5"/>
      <c r="FMS4" s="5"/>
      <c r="FMT4" s="5"/>
      <c r="FMU4" s="5"/>
      <c r="FMV4" s="5"/>
      <c r="FMW4" s="5"/>
      <c r="FMX4" s="5"/>
      <c r="FMY4" s="5"/>
      <c r="FMZ4" s="5"/>
      <c r="FNA4" s="5"/>
      <c r="FNB4" s="5"/>
      <c r="FNC4" s="5"/>
      <c r="FND4" s="5"/>
      <c r="FNE4" s="5"/>
      <c r="FNF4" s="5"/>
      <c r="FNG4" s="5"/>
      <c r="FNH4" s="5"/>
      <c r="FNI4" s="5"/>
      <c r="FNJ4" s="5"/>
      <c r="FNK4" s="5"/>
      <c r="FNL4" s="5"/>
      <c r="FNM4" s="5"/>
      <c r="FNN4" s="5"/>
      <c r="FNO4" s="5"/>
      <c r="FNP4" s="5"/>
      <c r="FNQ4" s="5"/>
      <c r="FNR4" s="5"/>
      <c r="FNS4" s="5"/>
      <c r="FNT4" s="5"/>
      <c r="FNU4" s="5"/>
      <c r="FNV4" s="5"/>
      <c r="FNW4" s="5"/>
      <c r="FNX4" s="5"/>
      <c r="FNY4" s="5"/>
      <c r="FNZ4" s="5"/>
      <c r="FOA4" s="5"/>
      <c r="FOB4" s="5"/>
      <c r="FOC4" s="5"/>
      <c r="FOD4" s="5"/>
      <c r="FOE4" s="5"/>
      <c r="FOF4" s="5"/>
      <c r="FOG4" s="5"/>
      <c r="FOH4" s="5"/>
      <c r="FOI4" s="5"/>
      <c r="FOJ4" s="5"/>
      <c r="FOK4" s="5"/>
      <c r="FOL4" s="5"/>
      <c r="FOM4" s="5"/>
      <c r="FON4" s="5"/>
      <c r="FOO4" s="5"/>
      <c r="FOP4" s="5"/>
      <c r="FOQ4" s="5"/>
      <c r="FOR4" s="5"/>
      <c r="FOS4" s="5"/>
      <c r="FOT4" s="5"/>
      <c r="FOU4" s="5"/>
      <c r="FOV4" s="5"/>
      <c r="FOW4" s="5"/>
      <c r="FOX4" s="5"/>
      <c r="FOY4" s="5"/>
      <c r="FOZ4" s="5"/>
      <c r="FPA4" s="5"/>
      <c r="FPB4" s="5"/>
      <c r="FPC4" s="5"/>
      <c r="FPD4" s="5"/>
      <c r="FPE4" s="5"/>
      <c r="FPF4" s="5"/>
      <c r="FPG4" s="5"/>
      <c r="FPH4" s="5"/>
      <c r="FPI4" s="5"/>
      <c r="FPJ4" s="5"/>
      <c r="FPK4" s="5"/>
      <c r="FPL4" s="5"/>
      <c r="FPM4" s="5"/>
      <c r="FPN4" s="5"/>
      <c r="FPO4" s="5"/>
      <c r="FPP4" s="5"/>
      <c r="FPQ4" s="5"/>
      <c r="FPR4" s="5"/>
      <c r="FPS4" s="5"/>
      <c r="FPT4" s="5"/>
      <c r="FPU4" s="5"/>
      <c r="FPV4" s="5"/>
      <c r="FPW4" s="5"/>
      <c r="FPX4" s="5"/>
      <c r="FPY4" s="5"/>
      <c r="FPZ4" s="5"/>
      <c r="FQA4" s="5"/>
      <c r="FQB4" s="5"/>
      <c r="FQC4" s="5"/>
      <c r="FQD4" s="5"/>
      <c r="FQE4" s="5"/>
      <c r="FQF4" s="5"/>
      <c r="FQG4" s="5"/>
      <c r="FQH4" s="5"/>
      <c r="FQI4" s="5"/>
      <c r="FQJ4" s="5"/>
      <c r="FQK4" s="5"/>
      <c r="FQL4" s="5"/>
      <c r="FQM4" s="5"/>
      <c r="FQN4" s="5"/>
      <c r="FQO4" s="5"/>
      <c r="FQP4" s="5"/>
      <c r="FQQ4" s="5"/>
      <c r="FQR4" s="5"/>
      <c r="FQS4" s="5"/>
      <c r="FQT4" s="5"/>
      <c r="FQU4" s="5"/>
      <c r="FQV4" s="5"/>
      <c r="FQW4" s="5"/>
      <c r="FQX4" s="5"/>
      <c r="FQY4" s="5"/>
      <c r="FQZ4" s="5"/>
      <c r="FRA4" s="5"/>
      <c r="FRB4" s="5"/>
      <c r="FRC4" s="5"/>
      <c r="FRD4" s="5"/>
      <c r="FRE4" s="5"/>
      <c r="FRF4" s="5"/>
      <c r="FRG4" s="5"/>
      <c r="FRH4" s="5"/>
      <c r="FRI4" s="5"/>
      <c r="FRJ4" s="5"/>
      <c r="FRK4" s="5"/>
      <c r="FRL4" s="5"/>
      <c r="FRM4" s="5"/>
      <c r="FRN4" s="5"/>
      <c r="FRO4" s="5"/>
      <c r="FRP4" s="5"/>
      <c r="FRQ4" s="5"/>
      <c r="FRR4" s="5"/>
      <c r="FRS4" s="5"/>
      <c r="FRT4" s="5"/>
      <c r="FRU4" s="5"/>
      <c r="FRV4" s="5"/>
      <c r="FRW4" s="5"/>
      <c r="FRX4" s="5"/>
      <c r="FRY4" s="5"/>
      <c r="FRZ4" s="5"/>
      <c r="FSA4" s="5"/>
      <c r="FSB4" s="5"/>
      <c r="FSC4" s="5"/>
      <c r="FSD4" s="5"/>
      <c r="FSE4" s="5"/>
      <c r="FSF4" s="5"/>
      <c r="FSG4" s="5"/>
      <c r="FSH4" s="5"/>
      <c r="FSI4" s="5"/>
      <c r="FSJ4" s="5"/>
      <c r="FSK4" s="5"/>
      <c r="FSL4" s="5"/>
      <c r="FSM4" s="5"/>
      <c r="FSN4" s="5"/>
      <c r="FSO4" s="5"/>
      <c r="FSP4" s="5"/>
      <c r="FSQ4" s="5"/>
      <c r="FSR4" s="5"/>
      <c r="FSS4" s="5"/>
      <c r="FST4" s="5"/>
      <c r="FSU4" s="5"/>
      <c r="FSV4" s="5"/>
      <c r="FSW4" s="5"/>
      <c r="FSX4" s="5"/>
      <c r="FSY4" s="5"/>
      <c r="FSZ4" s="5"/>
      <c r="FTA4" s="5"/>
      <c r="FTB4" s="5"/>
      <c r="FTC4" s="5"/>
      <c r="FTD4" s="5"/>
      <c r="FTE4" s="5"/>
      <c r="FTF4" s="5"/>
      <c r="FTG4" s="5"/>
      <c r="FTH4" s="5"/>
      <c r="FTI4" s="5"/>
      <c r="FTJ4" s="5"/>
      <c r="FTK4" s="5"/>
      <c r="FTL4" s="5"/>
      <c r="FTM4" s="5"/>
      <c r="FTN4" s="5"/>
      <c r="FTO4" s="5"/>
      <c r="FTP4" s="5"/>
      <c r="FTQ4" s="5"/>
      <c r="FTR4" s="5"/>
      <c r="FTS4" s="5"/>
      <c r="FTT4" s="5"/>
      <c r="FTU4" s="5"/>
      <c r="FTV4" s="5"/>
      <c r="FTW4" s="5"/>
      <c r="FTX4" s="5"/>
      <c r="FTY4" s="5"/>
      <c r="FTZ4" s="5"/>
      <c r="FUA4" s="5"/>
      <c r="FUB4" s="5"/>
      <c r="FUC4" s="5"/>
      <c r="FUD4" s="5"/>
      <c r="FUE4" s="5"/>
      <c r="FUF4" s="5"/>
      <c r="FUG4" s="5"/>
      <c r="FUH4" s="5"/>
      <c r="FUI4" s="5"/>
      <c r="FUJ4" s="5"/>
      <c r="FUK4" s="5"/>
      <c r="FUL4" s="5"/>
      <c r="FUM4" s="5"/>
      <c r="FUN4" s="5"/>
      <c r="FUO4" s="5"/>
      <c r="FUP4" s="5"/>
      <c r="FUQ4" s="5"/>
      <c r="FUR4" s="5"/>
      <c r="FUS4" s="5"/>
      <c r="FUT4" s="5"/>
      <c r="FUU4" s="5"/>
      <c r="FUV4" s="5"/>
      <c r="FUW4" s="5"/>
      <c r="FUX4" s="5"/>
      <c r="FUY4" s="5"/>
      <c r="FUZ4" s="5"/>
      <c r="FVA4" s="5"/>
      <c r="FVB4" s="5"/>
      <c r="FVC4" s="5"/>
      <c r="FVD4" s="5"/>
      <c r="FVE4" s="5"/>
      <c r="FVF4" s="5"/>
      <c r="FVG4" s="5"/>
      <c r="FVH4" s="5"/>
      <c r="FVI4" s="5"/>
      <c r="FVJ4" s="5"/>
      <c r="FVK4" s="5"/>
      <c r="FVL4" s="5"/>
      <c r="FVM4" s="5"/>
      <c r="FVN4" s="5"/>
      <c r="FVO4" s="5"/>
      <c r="FVP4" s="5"/>
      <c r="FVQ4" s="5"/>
      <c r="FVR4" s="5"/>
      <c r="FVS4" s="5"/>
      <c r="FVT4" s="5"/>
      <c r="FVU4" s="5"/>
      <c r="FVV4" s="5"/>
      <c r="FVW4" s="5"/>
      <c r="FVX4" s="5"/>
      <c r="FVY4" s="5"/>
      <c r="FVZ4" s="5"/>
      <c r="FWA4" s="5"/>
      <c r="FWB4" s="5"/>
      <c r="FWC4" s="5"/>
      <c r="FWD4" s="5"/>
      <c r="FWE4" s="5"/>
      <c r="FWF4" s="5"/>
      <c r="FWG4" s="5"/>
      <c r="FWH4" s="5"/>
      <c r="FWI4" s="5"/>
      <c r="FWJ4" s="5"/>
      <c r="FWK4" s="5"/>
      <c r="FWL4" s="5"/>
      <c r="FWM4" s="5"/>
      <c r="FWN4" s="5"/>
      <c r="FWO4" s="5"/>
      <c r="FWP4" s="5"/>
      <c r="FWQ4" s="5"/>
      <c r="FWR4" s="5"/>
      <c r="FWS4" s="5"/>
      <c r="FWT4" s="5"/>
      <c r="FWU4" s="5"/>
      <c r="FWV4" s="5"/>
      <c r="FWW4" s="5"/>
      <c r="FWX4" s="5"/>
      <c r="FWY4" s="5"/>
      <c r="FWZ4" s="5"/>
      <c r="FXA4" s="5"/>
      <c r="FXB4" s="5"/>
      <c r="FXC4" s="5"/>
      <c r="FXD4" s="5"/>
      <c r="FXE4" s="5"/>
      <c r="FXF4" s="5"/>
      <c r="FXG4" s="5"/>
      <c r="FXH4" s="5"/>
      <c r="FXI4" s="5"/>
      <c r="FXJ4" s="5"/>
      <c r="FXK4" s="5"/>
      <c r="FXL4" s="5"/>
      <c r="FXM4" s="5"/>
      <c r="FXN4" s="5"/>
      <c r="FXO4" s="5"/>
      <c r="FXP4" s="5"/>
      <c r="FXQ4" s="5"/>
      <c r="FXR4" s="5"/>
      <c r="FXS4" s="5"/>
      <c r="FXT4" s="5"/>
      <c r="FXU4" s="5"/>
      <c r="FXV4" s="5"/>
      <c r="FXW4" s="5"/>
      <c r="FXX4" s="5"/>
      <c r="FXY4" s="5"/>
      <c r="FXZ4" s="5"/>
      <c r="FYA4" s="5"/>
      <c r="FYB4" s="5"/>
      <c r="FYC4" s="5"/>
      <c r="FYD4" s="5"/>
      <c r="FYE4" s="5"/>
      <c r="FYF4" s="5"/>
      <c r="FYG4" s="5"/>
      <c r="FYH4" s="5"/>
      <c r="FYI4" s="5"/>
      <c r="FYJ4" s="5"/>
      <c r="FYK4" s="5"/>
      <c r="FYL4" s="5"/>
      <c r="FYM4" s="5"/>
      <c r="FYN4" s="5"/>
      <c r="FYO4" s="5"/>
      <c r="FYP4" s="5"/>
      <c r="FYQ4" s="5"/>
      <c r="FYR4" s="5"/>
      <c r="FYS4" s="5"/>
      <c r="FYT4" s="5"/>
      <c r="FYU4" s="5"/>
      <c r="FYV4" s="5"/>
      <c r="FYW4" s="5"/>
      <c r="FYX4" s="5"/>
      <c r="FYY4" s="5"/>
      <c r="FYZ4" s="5"/>
      <c r="FZA4" s="5"/>
      <c r="FZB4" s="5"/>
      <c r="FZC4" s="5"/>
      <c r="FZD4" s="5"/>
      <c r="FZE4" s="5"/>
      <c r="FZF4" s="5"/>
      <c r="FZG4" s="5"/>
      <c r="FZH4" s="5"/>
      <c r="FZI4" s="5"/>
      <c r="FZJ4" s="5"/>
      <c r="FZK4" s="5"/>
      <c r="FZL4" s="5"/>
      <c r="FZM4" s="5"/>
      <c r="FZN4" s="5"/>
      <c r="FZO4" s="5"/>
      <c r="FZP4" s="5"/>
      <c r="FZQ4" s="5"/>
      <c r="FZR4" s="5"/>
      <c r="FZS4" s="5"/>
      <c r="FZT4" s="5"/>
      <c r="FZU4" s="5"/>
      <c r="FZV4" s="5"/>
      <c r="FZW4" s="5"/>
      <c r="FZX4" s="5"/>
      <c r="FZY4" s="5"/>
      <c r="FZZ4" s="5"/>
      <c r="GAA4" s="5"/>
      <c r="GAB4" s="5"/>
      <c r="GAC4" s="5"/>
      <c r="GAD4" s="5"/>
      <c r="GAE4" s="5"/>
      <c r="GAF4" s="5"/>
      <c r="GAG4" s="5"/>
      <c r="GAH4" s="5"/>
      <c r="GAI4" s="5"/>
      <c r="GAJ4" s="5"/>
      <c r="GAK4" s="5"/>
      <c r="GAL4" s="5"/>
      <c r="GAM4" s="5"/>
      <c r="GAN4" s="5"/>
      <c r="GAO4" s="5"/>
      <c r="GAP4" s="5"/>
      <c r="GAQ4" s="5"/>
      <c r="GAR4" s="5"/>
      <c r="GAS4" s="5"/>
      <c r="GAT4" s="5"/>
      <c r="GAU4" s="5"/>
      <c r="GAV4" s="5"/>
      <c r="GAW4" s="5"/>
      <c r="GAX4" s="5"/>
      <c r="GAY4" s="5"/>
      <c r="GAZ4" s="5"/>
      <c r="GBA4" s="5"/>
      <c r="GBB4" s="5"/>
      <c r="GBC4" s="5"/>
      <c r="GBD4" s="5"/>
      <c r="GBE4" s="5"/>
      <c r="GBF4" s="5"/>
      <c r="GBG4" s="5"/>
      <c r="GBH4" s="5"/>
      <c r="GBI4" s="5"/>
      <c r="GBJ4" s="5"/>
      <c r="GBK4" s="5"/>
      <c r="GBL4" s="5"/>
      <c r="GBM4" s="5"/>
      <c r="GBN4" s="5"/>
      <c r="GBO4" s="5"/>
      <c r="GBP4" s="5"/>
      <c r="GBQ4" s="5"/>
      <c r="GBR4" s="5"/>
      <c r="GBS4" s="5"/>
      <c r="GBT4" s="5"/>
      <c r="GBU4" s="5"/>
      <c r="GBV4" s="5"/>
      <c r="GBW4" s="5"/>
      <c r="GBX4" s="5"/>
      <c r="GBY4" s="5"/>
      <c r="GBZ4" s="5"/>
      <c r="GCA4" s="5"/>
      <c r="GCB4" s="5"/>
      <c r="GCC4" s="5"/>
      <c r="GCD4" s="5"/>
      <c r="GCE4" s="5"/>
      <c r="GCF4" s="5"/>
      <c r="GCG4" s="5"/>
      <c r="GCH4" s="5"/>
      <c r="GCI4" s="5"/>
      <c r="GCJ4" s="5"/>
      <c r="GCK4" s="5"/>
      <c r="GCL4" s="5"/>
      <c r="GCM4" s="5"/>
      <c r="GCN4" s="5"/>
      <c r="GCO4" s="5"/>
      <c r="GCP4" s="5"/>
      <c r="GCQ4" s="5"/>
      <c r="GCR4" s="5"/>
      <c r="GCS4" s="5"/>
      <c r="GCT4" s="5"/>
      <c r="GCU4" s="5"/>
      <c r="GCV4" s="5"/>
      <c r="GCW4" s="5"/>
      <c r="GCX4" s="5"/>
      <c r="GCY4" s="5"/>
      <c r="GCZ4" s="5"/>
      <c r="GDA4" s="5"/>
      <c r="GDB4" s="5"/>
      <c r="GDC4" s="5"/>
      <c r="GDD4" s="5"/>
      <c r="GDE4" s="5"/>
      <c r="GDF4" s="5"/>
      <c r="GDG4" s="5"/>
      <c r="GDH4" s="5"/>
      <c r="GDI4" s="5"/>
      <c r="GDJ4" s="5"/>
      <c r="GDK4" s="5"/>
      <c r="GDL4" s="5"/>
      <c r="GDM4" s="5"/>
      <c r="GDN4" s="5"/>
      <c r="GDO4" s="5"/>
      <c r="GDP4" s="5"/>
      <c r="GDQ4" s="5"/>
      <c r="GDR4" s="5"/>
      <c r="GDS4" s="5"/>
      <c r="GDT4" s="5"/>
      <c r="GDU4" s="5"/>
      <c r="GDV4" s="5"/>
      <c r="GDW4" s="5"/>
      <c r="GDX4" s="5"/>
      <c r="GDY4" s="5"/>
      <c r="GDZ4" s="5"/>
      <c r="GEA4" s="5"/>
      <c r="GEB4" s="5"/>
      <c r="GEC4" s="5"/>
      <c r="GED4" s="5"/>
      <c r="GEE4" s="5"/>
      <c r="GEF4" s="5"/>
      <c r="GEG4" s="5"/>
      <c r="GEH4" s="5"/>
      <c r="GEI4" s="5"/>
      <c r="GEJ4" s="5"/>
      <c r="GEK4" s="5"/>
      <c r="GEL4" s="5"/>
      <c r="GEM4" s="5"/>
      <c r="GEN4" s="5"/>
      <c r="GEO4" s="5"/>
      <c r="GEP4" s="5"/>
      <c r="GEQ4" s="5"/>
      <c r="GER4" s="5"/>
      <c r="GES4" s="5"/>
      <c r="GET4" s="5"/>
      <c r="GEU4" s="5"/>
      <c r="GEV4" s="5"/>
      <c r="GEW4" s="5"/>
      <c r="GEX4" s="5"/>
      <c r="GEY4" s="5"/>
      <c r="GEZ4" s="5"/>
      <c r="GFA4" s="5"/>
      <c r="GFB4" s="5"/>
      <c r="GFC4" s="5"/>
      <c r="GFD4" s="5"/>
      <c r="GFE4" s="5"/>
      <c r="GFF4" s="5"/>
      <c r="GFG4" s="5"/>
      <c r="GFH4" s="5"/>
      <c r="GFI4" s="5"/>
      <c r="GFJ4" s="5"/>
      <c r="GFK4" s="5"/>
      <c r="GFL4" s="5"/>
      <c r="GFM4" s="5"/>
      <c r="GFN4" s="5"/>
      <c r="GFO4" s="5"/>
      <c r="GFP4" s="5"/>
      <c r="GFQ4" s="5"/>
      <c r="GFR4" s="5"/>
      <c r="GFS4" s="5"/>
      <c r="GFT4" s="5"/>
      <c r="GFU4" s="5"/>
      <c r="GFV4" s="5"/>
      <c r="GFW4" s="5"/>
      <c r="GFX4" s="5"/>
      <c r="GFY4" s="5"/>
      <c r="GFZ4" s="5"/>
      <c r="GGA4" s="5"/>
      <c r="GGB4" s="5"/>
      <c r="GGC4" s="5"/>
      <c r="GGD4" s="5"/>
      <c r="GGE4" s="5"/>
      <c r="GGF4" s="5"/>
      <c r="GGG4" s="5"/>
      <c r="GGH4" s="5"/>
      <c r="GGI4" s="5"/>
      <c r="GGJ4" s="5"/>
      <c r="GGK4" s="5"/>
      <c r="GGL4" s="5"/>
      <c r="GGM4" s="5"/>
      <c r="GGN4" s="5"/>
      <c r="GGO4" s="5"/>
      <c r="GGP4" s="5"/>
      <c r="GGQ4" s="5"/>
      <c r="GGR4" s="5"/>
      <c r="GGS4" s="5"/>
      <c r="GGT4" s="5"/>
      <c r="GGU4" s="5"/>
      <c r="GGV4" s="5"/>
      <c r="GGW4" s="5"/>
      <c r="GGX4" s="5"/>
      <c r="GGY4" s="5"/>
      <c r="GGZ4" s="5"/>
      <c r="GHA4" s="5"/>
      <c r="GHB4" s="5"/>
      <c r="GHC4" s="5"/>
      <c r="GHD4" s="5"/>
      <c r="GHE4" s="5"/>
      <c r="GHF4" s="5"/>
      <c r="GHG4" s="5"/>
      <c r="GHH4" s="5"/>
      <c r="GHI4" s="5"/>
      <c r="GHJ4" s="5"/>
      <c r="GHK4" s="5"/>
      <c r="GHL4" s="5"/>
      <c r="GHM4" s="5"/>
      <c r="GHN4" s="5"/>
      <c r="GHO4" s="5"/>
      <c r="GHP4" s="5"/>
      <c r="GHQ4" s="5"/>
      <c r="GHR4" s="5"/>
      <c r="GHS4" s="5"/>
      <c r="GHT4" s="5"/>
      <c r="GHU4" s="5"/>
      <c r="GHV4" s="5"/>
      <c r="GHW4" s="5"/>
      <c r="GHX4" s="5"/>
      <c r="GHY4" s="5"/>
      <c r="GHZ4" s="5"/>
      <c r="GIA4" s="5"/>
      <c r="GIB4" s="5"/>
      <c r="GIC4" s="5"/>
      <c r="GID4" s="5"/>
      <c r="GIE4" s="5"/>
      <c r="GIF4" s="5"/>
      <c r="GIG4" s="5"/>
      <c r="GIH4" s="5"/>
      <c r="GII4" s="5"/>
      <c r="GIJ4" s="5"/>
      <c r="GIK4" s="5"/>
      <c r="GIL4" s="5"/>
      <c r="GIM4" s="5"/>
      <c r="GIN4" s="5"/>
      <c r="GIO4" s="5"/>
      <c r="GIP4" s="5"/>
      <c r="GIQ4" s="5"/>
      <c r="GIR4" s="5"/>
      <c r="GIS4" s="5"/>
      <c r="GIT4" s="5"/>
      <c r="GIU4" s="5"/>
      <c r="GIV4" s="5"/>
      <c r="GIW4" s="5"/>
      <c r="GIX4" s="5"/>
      <c r="GIY4" s="5"/>
      <c r="GIZ4" s="5"/>
      <c r="GJA4" s="5"/>
      <c r="GJB4" s="5"/>
      <c r="GJC4" s="5"/>
      <c r="GJD4" s="5"/>
      <c r="GJE4" s="5"/>
      <c r="GJF4" s="5"/>
      <c r="GJG4" s="5"/>
      <c r="GJH4" s="5"/>
      <c r="GJI4" s="5"/>
      <c r="GJJ4" s="5"/>
      <c r="GJK4" s="5"/>
      <c r="GJL4" s="5"/>
      <c r="GJM4" s="5"/>
      <c r="GJN4" s="5"/>
      <c r="GJO4" s="5"/>
      <c r="GJP4" s="5"/>
      <c r="GJQ4" s="5"/>
      <c r="GJR4" s="5"/>
      <c r="GJS4" s="5"/>
      <c r="GJT4" s="5"/>
      <c r="GJU4" s="5"/>
      <c r="GJV4" s="5"/>
      <c r="GJW4" s="5"/>
      <c r="GJX4" s="5"/>
      <c r="GJY4" s="5"/>
      <c r="GJZ4" s="5"/>
      <c r="GKA4" s="5"/>
      <c r="GKB4" s="5"/>
      <c r="GKC4" s="5"/>
      <c r="GKD4" s="5"/>
      <c r="GKE4" s="5"/>
      <c r="GKF4" s="5"/>
      <c r="GKG4" s="5"/>
      <c r="GKH4" s="5"/>
      <c r="GKI4" s="5"/>
      <c r="GKJ4" s="5"/>
      <c r="GKK4" s="5"/>
      <c r="GKL4" s="5"/>
      <c r="GKM4" s="5"/>
      <c r="GKN4" s="5"/>
      <c r="GKO4" s="5"/>
      <c r="GKP4" s="5"/>
      <c r="GKQ4" s="5"/>
      <c r="GKR4" s="5"/>
      <c r="GKS4" s="5"/>
      <c r="GKT4" s="5"/>
      <c r="GKU4" s="5"/>
      <c r="GKV4" s="5"/>
      <c r="GKW4" s="5"/>
      <c r="GKX4" s="5"/>
      <c r="GKY4" s="5"/>
      <c r="GKZ4" s="5"/>
      <c r="GLA4" s="5"/>
      <c r="GLB4" s="5"/>
      <c r="GLC4" s="5"/>
      <c r="GLD4" s="5"/>
      <c r="GLE4" s="5"/>
      <c r="GLF4" s="5"/>
      <c r="GLG4" s="5"/>
      <c r="GLH4" s="5"/>
      <c r="GLI4" s="5"/>
      <c r="GLJ4" s="5"/>
      <c r="GLK4" s="5"/>
      <c r="GLL4" s="5"/>
      <c r="GLM4" s="5"/>
      <c r="GLN4" s="5"/>
      <c r="GLO4" s="5"/>
      <c r="GLP4" s="5"/>
      <c r="GLQ4" s="5"/>
      <c r="GLR4" s="5"/>
      <c r="GLS4" s="5"/>
      <c r="GLT4" s="5"/>
      <c r="GLU4" s="5"/>
      <c r="GLV4" s="5"/>
      <c r="GLW4" s="5"/>
      <c r="GLX4" s="5"/>
      <c r="GLY4" s="5"/>
      <c r="GLZ4" s="5"/>
      <c r="GMA4" s="5"/>
      <c r="GMB4" s="5"/>
      <c r="GMC4" s="5"/>
      <c r="GMD4" s="5"/>
      <c r="GME4" s="5"/>
      <c r="GMF4" s="5"/>
      <c r="GMG4" s="5"/>
      <c r="GMH4" s="5"/>
      <c r="GMI4" s="5"/>
      <c r="GMJ4" s="5"/>
      <c r="GMK4" s="5"/>
      <c r="GML4" s="5"/>
      <c r="GMM4" s="5"/>
      <c r="GMN4" s="5"/>
      <c r="GMO4" s="5"/>
      <c r="GMP4" s="5"/>
      <c r="GMQ4" s="5"/>
      <c r="GMR4" s="5"/>
      <c r="GMS4" s="5"/>
      <c r="GMT4" s="5"/>
      <c r="GMU4" s="5"/>
      <c r="GMV4" s="5"/>
      <c r="GMW4" s="5"/>
      <c r="GMX4" s="5"/>
      <c r="GMY4" s="5"/>
      <c r="GMZ4" s="5"/>
      <c r="GNA4" s="5"/>
      <c r="GNB4" s="5"/>
      <c r="GNC4" s="5"/>
      <c r="GND4" s="5"/>
      <c r="GNE4" s="5"/>
      <c r="GNF4" s="5"/>
      <c r="GNG4" s="5"/>
      <c r="GNH4" s="5"/>
      <c r="GNI4" s="5"/>
      <c r="GNJ4" s="5"/>
      <c r="GNK4" s="5"/>
      <c r="GNL4" s="5"/>
      <c r="GNM4" s="5"/>
      <c r="GNN4" s="5"/>
      <c r="GNO4" s="5"/>
      <c r="GNP4" s="5"/>
      <c r="GNQ4" s="5"/>
      <c r="GNR4" s="5"/>
      <c r="GNS4" s="5"/>
      <c r="GNT4" s="5"/>
      <c r="GNU4" s="5"/>
      <c r="GNV4" s="5"/>
      <c r="GNW4" s="5"/>
      <c r="GNX4" s="5"/>
      <c r="GNY4" s="5"/>
      <c r="GNZ4" s="5"/>
      <c r="GOA4" s="5"/>
      <c r="GOB4" s="5"/>
      <c r="GOC4" s="5"/>
      <c r="GOD4" s="5"/>
      <c r="GOE4" s="5"/>
      <c r="GOF4" s="5"/>
      <c r="GOG4" s="5"/>
      <c r="GOH4" s="5"/>
      <c r="GOI4" s="5"/>
      <c r="GOJ4" s="5"/>
      <c r="GOK4" s="5"/>
      <c r="GOL4" s="5"/>
      <c r="GOM4" s="5"/>
      <c r="GON4" s="5"/>
      <c r="GOO4" s="5"/>
      <c r="GOP4" s="5"/>
      <c r="GOQ4" s="5"/>
      <c r="GOR4" s="5"/>
      <c r="GOS4" s="5"/>
      <c r="GOT4" s="5"/>
      <c r="GOU4" s="5"/>
      <c r="GOV4" s="5"/>
      <c r="GOW4" s="5"/>
      <c r="GOX4" s="5"/>
      <c r="GOY4" s="5"/>
      <c r="GOZ4" s="5"/>
      <c r="GPA4" s="5"/>
      <c r="GPB4" s="5"/>
      <c r="GPC4" s="5"/>
      <c r="GPD4" s="5"/>
      <c r="GPE4" s="5"/>
      <c r="GPF4" s="5"/>
      <c r="GPG4" s="5"/>
      <c r="GPH4" s="5"/>
      <c r="GPI4" s="5"/>
      <c r="GPJ4" s="5"/>
      <c r="GPK4" s="5"/>
      <c r="GPL4" s="5"/>
      <c r="GPM4" s="5"/>
      <c r="GPN4" s="5"/>
      <c r="GPO4" s="5"/>
      <c r="GPP4" s="5"/>
      <c r="GPQ4" s="5"/>
      <c r="GPR4" s="5"/>
      <c r="GPS4" s="5"/>
      <c r="GPT4" s="5"/>
      <c r="GPU4" s="5"/>
      <c r="GPV4" s="5"/>
      <c r="GPW4" s="5"/>
      <c r="GPX4" s="5"/>
      <c r="GPY4" s="5"/>
      <c r="GPZ4" s="5"/>
      <c r="GQA4" s="5"/>
      <c r="GQB4" s="5"/>
      <c r="GQC4" s="5"/>
      <c r="GQD4" s="5"/>
      <c r="GQE4" s="5"/>
      <c r="GQF4" s="5"/>
      <c r="GQG4" s="5"/>
      <c r="GQH4" s="5"/>
      <c r="GQI4" s="5"/>
      <c r="GQJ4" s="5"/>
      <c r="GQK4" s="5"/>
      <c r="GQL4" s="5"/>
      <c r="GQM4" s="5"/>
      <c r="GQN4" s="5"/>
      <c r="GQO4" s="5"/>
      <c r="GQP4" s="5"/>
      <c r="GQQ4" s="5"/>
      <c r="GQR4" s="5"/>
      <c r="GQS4" s="5"/>
      <c r="GQT4" s="5"/>
      <c r="GQU4" s="5"/>
      <c r="GQV4" s="5"/>
      <c r="GQW4" s="5"/>
      <c r="GQX4" s="5"/>
      <c r="GQY4" s="5"/>
      <c r="GQZ4" s="5"/>
      <c r="GRA4" s="5"/>
      <c r="GRB4" s="5"/>
      <c r="GRC4" s="5"/>
      <c r="GRD4" s="5"/>
      <c r="GRE4" s="5"/>
      <c r="GRF4" s="5"/>
      <c r="GRG4" s="5"/>
      <c r="GRH4" s="5"/>
      <c r="GRI4" s="5"/>
      <c r="GRJ4" s="5"/>
      <c r="GRK4" s="5"/>
      <c r="GRL4" s="5"/>
      <c r="GRM4" s="5"/>
      <c r="GRN4" s="5"/>
      <c r="GRO4" s="5"/>
      <c r="GRP4" s="5"/>
      <c r="GRQ4" s="5"/>
      <c r="GRR4" s="5"/>
      <c r="GRS4" s="5"/>
      <c r="GRT4" s="5"/>
      <c r="GRU4" s="5"/>
      <c r="GRV4" s="5"/>
      <c r="GRW4" s="5"/>
      <c r="GRX4" s="5"/>
      <c r="GRY4" s="5"/>
      <c r="GRZ4" s="5"/>
      <c r="GSA4" s="5"/>
      <c r="GSB4" s="5"/>
      <c r="GSC4" s="5"/>
      <c r="GSD4" s="5"/>
      <c r="GSE4" s="5"/>
      <c r="GSF4" s="5"/>
      <c r="GSG4" s="5"/>
      <c r="GSH4" s="5"/>
      <c r="GSI4" s="5"/>
      <c r="GSJ4" s="5"/>
      <c r="GSK4" s="5"/>
      <c r="GSL4" s="5"/>
      <c r="GSM4" s="5"/>
      <c r="GSN4" s="5"/>
      <c r="GSO4" s="5"/>
      <c r="GSP4" s="5"/>
      <c r="GSQ4" s="5"/>
      <c r="GSR4" s="5"/>
      <c r="GSS4" s="5"/>
      <c r="GST4" s="5"/>
      <c r="GSU4" s="5"/>
      <c r="GSV4" s="5"/>
      <c r="GSW4" s="5"/>
      <c r="GSX4" s="5"/>
      <c r="GSY4" s="5"/>
      <c r="GSZ4" s="5"/>
      <c r="GTA4" s="5"/>
      <c r="GTB4" s="5"/>
      <c r="GTC4" s="5"/>
      <c r="GTD4" s="5"/>
      <c r="GTE4" s="5"/>
      <c r="GTF4" s="5"/>
      <c r="GTG4" s="5"/>
      <c r="GTH4" s="5"/>
      <c r="GTI4" s="5"/>
      <c r="GTJ4" s="5"/>
      <c r="GTK4" s="5"/>
      <c r="GTL4" s="5"/>
      <c r="GTM4" s="5"/>
      <c r="GTN4" s="5"/>
      <c r="GTO4" s="5"/>
      <c r="GTP4" s="5"/>
      <c r="GTQ4" s="5"/>
      <c r="GTR4" s="5"/>
      <c r="GTS4" s="5"/>
      <c r="GTT4" s="5"/>
      <c r="GTU4" s="5"/>
      <c r="GTV4" s="5"/>
      <c r="GTW4" s="5"/>
      <c r="GTX4" s="5"/>
      <c r="GTY4" s="5"/>
      <c r="GTZ4" s="5"/>
      <c r="GUA4" s="5"/>
      <c r="GUB4" s="5"/>
      <c r="GUC4" s="5"/>
      <c r="GUD4" s="5"/>
      <c r="GUE4" s="5"/>
      <c r="GUF4" s="5"/>
      <c r="GUG4" s="5"/>
      <c r="GUH4" s="5"/>
      <c r="GUI4" s="5"/>
      <c r="GUJ4" s="5"/>
      <c r="GUK4" s="5"/>
      <c r="GUL4" s="5"/>
      <c r="GUM4" s="5"/>
      <c r="GUN4" s="5"/>
      <c r="GUO4" s="5"/>
      <c r="GUP4" s="5"/>
      <c r="GUQ4" s="5"/>
      <c r="GUR4" s="5"/>
      <c r="GUS4" s="5"/>
      <c r="GUT4" s="5"/>
      <c r="GUU4" s="5"/>
      <c r="GUV4" s="5"/>
      <c r="GUW4" s="5"/>
      <c r="GUX4" s="5"/>
      <c r="GUY4" s="5"/>
      <c r="GUZ4" s="5"/>
      <c r="GVA4" s="5"/>
      <c r="GVB4" s="5"/>
      <c r="GVC4" s="5"/>
      <c r="GVD4" s="5"/>
      <c r="GVE4" s="5"/>
      <c r="GVF4" s="5"/>
      <c r="GVG4" s="5"/>
      <c r="GVH4" s="5"/>
      <c r="GVI4" s="5"/>
      <c r="GVJ4" s="5"/>
      <c r="GVK4" s="5"/>
      <c r="GVL4" s="5"/>
      <c r="GVM4" s="5"/>
      <c r="GVN4" s="5"/>
      <c r="GVO4" s="5"/>
      <c r="GVP4" s="5"/>
      <c r="GVQ4" s="5"/>
      <c r="GVR4" s="5"/>
      <c r="GVS4" s="5"/>
      <c r="GVT4" s="5"/>
      <c r="GVU4" s="5"/>
      <c r="GVV4" s="5"/>
      <c r="GVW4" s="5"/>
      <c r="GVX4" s="5"/>
      <c r="GVY4" s="5"/>
      <c r="GVZ4" s="5"/>
      <c r="GWA4" s="5"/>
      <c r="GWB4" s="5"/>
      <c r="GWC4" s="5"/>
      <c r="GWD4" s="5"/>
      <c r="GWE4" s="5"/>
      <c r="GWF4" s="5"/>
      <c r="GWG4" s="5"/>
      <c r="GWH4" s="5"/>
      <c r="GWI4" s="5"/>
      <c r="GWJ4" s="5"/>
      <c r="GWK4" s="5"/>
      <c r="GWL4" s="5"/>
      <c r="GWM4" s="5"/>
      <c r="GWN4" s="5"/>
      <c r="GWO4" s="5"/>
      <c r="GWP4" s="5"/>
      <c r="GWQ4" s="5"/>
      <c r="GWR4" s="5"/>
      <c r="GWS4" s="5"/>
      <c r="GWT4" s="5"/>
      <c r="GWU4" s="5"/>
      <c r="GWV4" s="5"/>
      <c r="GWW4" s="5"/>
      <c r="GWX4" s="5"/>
      <c r="GWY4" s="5"/>
      <c r="GWZ4" s="5"/>
      <c r="GXA4" s="5"/>
      <c r="GXB4" s="5"/>
      <c r="GXC4" s="5"/>
      <c r="GXD4" s="5"/>
      <c r="GXE4" s="5"/>
      <c r="GXF4" s="5"/>
      <c r="GXG4" s="5"/>
      <c r="GXH4" s="5"/>
      <c r="GXI4" s="5"/>
      <c r="GXJ4" s="5"/>
      <c r="GXK4" s="5"/>
      <c r="GXL4" s="5"/>
      <c r="GXM4" s="5"/>
      <c r="GXN4" s="5"/>
      <c r="GXO4" s="5"/>
      <c r="GXP4" s="5"/>
      <c r="GXQ4" s="5"/>
      <c r="GXR4" s="5"/>
      <c r="GXS4" s="5"/>
      <c r="GXT4" s="5"/>
      <c r="GXU4" s="5"/>
      <c r="GXV4" s="5"/>
      <c r="GXW4" s="5"/>
      <c r="GXX4" s="5"/>
      <c r="GXY4" s="5"/>
      <c r="GXZ4" s="5"/>
      <c r="GYA4" s="5"/>
      <c r="GYB4" s="5"/>
      <c r="GYC4" s="5"/>
      <c r="GYD4" s="5"/>
      <c r="GYE4" s="5"/>
      <c r="GYF4" s="5"/>
      <c r="GYG4" s="5"/>
      <c r="GYH4" s="5"/>
      <c r="GYI4" s="5"/>
      <c r="GYJ4" s="5"/>
      <c r="GYK4" s="5"/>
      <c r="GYL4" s="5"/>
      <c r="GYM4" s="5"/>
      <c r="GYN4" s="5"/>
      <c r="GYO4" s="5"/>
      <c r="GYP4" s="5"/>
      <c r="GYQ4" s="5"/>
      <c r="GYR4" s="5"/>
      <c r="GYS4" s="5"/>
      <c r="GYT4" s="5"/>
      <c r="GYU4" s="5"/>
      <c r="GYV4" s="5"/>
      <c r="GYW4" s="5"/>
      <c r="GYX4" s="5"/>
      <c r="GYY4" s="5"/>
      <c r="GYZ4" s="5"/>
      <c r="GZA4" s="5"/>
      <c r="GZB4" s="5"/>
      <c r="GZC4" s="5"/>
      <c r="GZD4" s="5"/>
      <c r="GZE4" s="5"/>
      <c r="GZF4" s="5"/>
      <c r="GZG4" s="5"/>
      <c r="GZH4" s="5"/>
      <c r="GZI4" s="5"/>
      <c r="GZJ4" s="5"/>
      <c r="GZK4" s="5"/>
      <c r="GZL4" s="5"/>
      <c r="GZM4" s="5"/>
      <c r="GZN4" s="5"/>
      <c r="GZO4" s="5"/>
      <c r="GZP4" s="5"/>
      <c r="GZQ4" s="5"/>
      <c r="GZR4" s="5"/>
      <c r="GZS4" s="5"/>
      <c r="GZT4" s="5"/>
      <c r="GZU4" s="5"/>
      <c r="GZV4" s="5"/>
      <c r="GZW4" s="5"/>
      <c r="GZX4" s="5"/>
      <c r="GZY4" s="5"/>
      <c r="GZZ4" s="5"/>
      <c r="HAA4" s="5"/>
      <c r="HAB4" s="5"/>
      <c r="HAC4" s="5"/>
      <c r="HAD4" s="5"/>
      <c r="HAE4" s="5"/>
      <c r="HAF4" s="5"/>
      <c r="HAG4" s="5"/>
      <c r="HAH4" s="5"/>
      <c r="HAI4" s="5"/>
      <c r="HAJ4" s="5"/>
      <c r="HAK4" s="5"/>
      <c r="HAL4" s="5"/>
      <c r="HAM4" s="5"/>
      <c r="HAN4" s="5"/>
      <c r="HAO4" s="5"/>
      <c r="HAP4" s="5"/>
      <c r="HAQ4" s="5"/>
      <c r="HAR4" s="5"/>
      <c r="HAS4" s="5"/>
      <c r="HAT4" s="5"/>
      <c r="HAU4" s="5"/>
      <c r="HAV4" s="5"/>
      <c r="HAW4" s="5"/>
      <c r="HAX4" s="5"/>
      <c r="HAY4" s="5"/>
      <c r="HAZ4" s="5"/>
      <c r="HBA4" s="5"/>
      <c r="HBB4" s="5"/>
      <c r="HBC4" s="5"/>
      <c r="HBD4" s="5"/>
      <c r="HBE4" s="5"/>
      <c r="HBF4" s="5"/>
      <c r="HBG4" s="5"/>
      <c r="HBH4" s="5"/>
      <c r="HBI4" s="5"/>
      <c r="HBJ4" s="5"/>
      <c r="HBK4" s="5"/>
      <c r="HBL4" s="5"/>
      <c r="HBM4" s="5"/>
      <c r="HBN4" s="5"/>
      <c r="HBO4" s="5"/>
      <c r="HBP4" s="5"/>
      <c r="HBQ4" s="5"/>
      <c r="HBR4" s="5"/>
      <c r="HBS4" s="5"/>
      <c r="HBT4" s="5"/>
      <c r="HBU4" s="5"/>
      <c r="HBV4" s="5"/>
      <c r="HBW4" s="5"/>
      <c r="HBX4" s="5"/>
      <c r="HBY4" s="5"/>
      <c r="HBZ4" s="5"/>
      <c r="HCA4" s="5"/>
      <c r="HCB4" s="5"/>
      <c r="HCC4" s="5"/>
      <c r="HCD4" s="5"/>
      <c r="HCE4" s="5"/>
      <c r="HCF4" s="5"/>
      <c r="HCG4" s="5"/>
      <c r="HCH4" s="5"/>
      <c r="HCI4" s="5"/>
      <c r="HCJ4" s="5"/>
      <c r="HCK4" s="5"/>
      <c r="HCL4" s="5"/>
      <c r="HCM4" s="5"/>
      <c r="HCN4" s="5"/>
      <c r="HCO4" s="5"/>
      <c r="HCP4" s="5"/>
      <c r="HCQ4" s="5"/>
      <c r="HCR4" s="5"/>
      <c r="HCS4" s="5"/>
      <c r="HCT4" s="5"/>
      <c r="HCU4" s="5"/>
      <c r="HCV4" s="5"/>
      <c r="HCW4" s="5"/>
      <c r="HCX4" s="5"/>
      <c r="HCY4" s="5"/>
      <c r="HCZ4" s="5"/>
      <c r="HDA4" s="5"/>
      <c r="HDB4" s="5"/>
      <c r="HDC4" s="5"/>
      <c r="HDD4" s="5"/>
      <c r="HDE4" s="5"/>
      <c r="HDF4" s="5"/>
      <c r="HDG4" s="5"/>
      <c r="HDH4" s="5"/>
      <c r="HDI4" s="5"/>
      <c r="HDJ4" s="5"/>
      <c r="HDK4" s="5"/>
      <c r="HDL4" s="5"/>
      <c r="HDM4" s="5"/>
      <c r="HDN4" s="5"/>
      <c r="HDO4" s="5"/>
      <c r="HDP4" s="5"/>
      <c r="HDQ4" s="5"/>
      <c r="HDR4" s="5"/>
      <c r="HDS4" s="5"/>
      <c r="HDT4" s="5"/>
      <c r="HDU4" s="5"/>
      <c r="HDV4" s="5"/>
      <c r="HDW4" s="5"/>
      <c r="HDX4" s="5"/>
      <c r="HDY4" s="5"/>
      <c r="HDZ4" s="5"/>
      <c r="HEA4" s="5"/>
      <c r="HEB4" s="5"/>
      <c r="HEC4" s="5"/>
      <c r="HED4" s="5"/>
      <c r="HEE4" s="5"/>
      <c r="HEF4" s="5"/>
      <c r="HEG4" s="5"/>
      <c r="HEH4" s="5"/>
      <c r="HEI4" s="5"/>
      <c r="HEJ4" s="5"/>
      <c r="HEK4" s="5"/>
      <c r="HEL4" s="5"/>
      <c r="HEM4" s="5"/>
      <c r="HEN4" s="5"/>
      <c r="HEO4" s="5"/>
      <c r="HEP4" s="5"/>
      <c r="HEQ4" s="5"/>
      <c r="HER4" s="5"/>
      <c r="HES4" s="5"/>
      <c r="HET4" s="5"/>
      <c r="HEU4" s="5"/>
      <c r="HEV4" s="5"/>
      <c r="HEW4" s="5"/>
      <c r="HEX4" s="5"/>
      <c r="HEY4" s="5"/>
      <c r="HEZ4" s="5"/>
      <c r="HFA4" s="5"/>
      <c r="HFB4" s="5"/>
      <c r="HFC4" s="5"/>
      <c r="HFD4" s="5"/>
      <c r="HFE4" s="5"/>
      <c r="HFF4" s="5"/>
      <c r="HFG4" s="5"/>
      <c r="HFH4" s="5"/>
      <c r="HFI4" s="5"/>
      <c r="HFJ4" s="5"/>
      <c r="HFK4" s="5"/>
      <c r="HFL4" s="5"/>
      <c r="HFM4" s="5"/>
      <c r="HFN4" s="5"/>
      <c r="HFO4" s="5"/>
      <c r="HFP4" s="5"/>
      <c r="HFQ4" s="5"/>
      <c r="HFR4" s="5"/>
      <c r="HFS4" s="5"/>
      <c r="HFT4" s="5"/>
      <c r="HFU4" s="5"/>
      <c r="HFV4" s="5"/>
      <c r="HFW4" s="5"/>
      <c r="HFX4" s="5"/>
      <c r="HFY4" s="5"/>
      <c r="HFZ4" s="5"/>
      <c r="HGA4" s="5"/>
      <c r="HGB4" s="5"/>
      <c r="HGC4" s="5"/>
      <c r="HGD4" s="5"/>
      <c r="HGE4" s="5"/>
      <c r="HGF4" s="5"/>
      <c r="HGG4" s="5"/>
      <c r="HGH4" s="5"/>
      <c r="HGI4" s="5"/>
      <c r="HGJ4" s="5"/>
      <c r="HGK4" s="5"/>
      <c r="HGL4" s="5"/>
      <c r="HGM4" s="5"/>
      <c r="HGN4" s="5"/>
      <c r="HGO4" s="5"/>
      <c r="HGP4" s="5"/>
      <c r="HGQ4" s="5"/>
      <c r="HGR4" s="5"/>
      <c r="HGS4" s="5"/>
      <c r="HGT4" s="5"/>
      <c r="HGU4" s="5"/>
      <c r="HGV4" s="5"/>
      <c r="HGW4" s="5"/>
      <c r="HGX4" s="5"/>
      <c r="HGY4" s="5"/>
      <c r="HGZ4" s="5"/>
      <c r="HHA4" s="5"/>
      <c r="HHB4" s="5"/>
      <c r="HHC4" s="5"/>
      <c r="HHD4" s="5"/>
      <c r="HHE4" s="5"/>
      <c r="HHF4" s="5"/>
      <c r="HHG4" s="5"/>
      <c r="HHH4" s="5"/>
      <c r="HHI4" s="5"/>
      <c r="HHJ4" s="5"/>
      <c r="HHK4" s="5"/>
      <c r="HHL4" s="5"/>
      <c r="HHM4" s="5"/>
      <c r="HHN4" s="5"/>
      <c r="HHO4" s="5"/>
      <c r="HHP4" s="5"/>
      <c r="HHQ4" s="5"/>
      <c r="HHR4" s="5"/>
      <c r="HHS4" s="5"/>
      <c r="HHT4" s="5"/>
      <c r="HHU4" s="5"/>
      <c r="HHV4" s="5"/>
      <c r="HHW4" s="5"/>
      <c r="HHX4" s="5"/>
      <c r="HHY4" s="5"/>
      <c r="HHZ4" s="5"/>
      <c r="HIA4" s="5"/>
      <c r="HIB4" s="5"/>
      <c r="HIC4" s="5"/>
      <c r="HID4" s="5"/>
      <c r="HIE4" s="5"/>
      <c r="HIF4" s="5"/>
      <c r="HIG4" s="5"/>
      <c r="HIH4" s="5"/>
      <c r="HII4" s="5"/>
      <c r="HIJ4" s="5"/>
      <c r="HIK4" s="5"/>
      <c r="HIL4" s="5"/>
      <c r="HIM4" s="5"/>
      <c r="HIN4" s="5"/>
      <c r="HIO4" s="5"/>
      <c r="HIP4" s="5"/>
      <c r="HIQ4" s="5"/>
      <c r="HIR4" s="5"/>
      <c r="HIS4" s="5"/>
      <c r="HIT4" s="5"/>
      <c r="HIU4" s="5"/>
      <c r="HIV4" s="5"/>
      <c r="HIW4" s="5"/>
      <c r="HIX4" s="5"/>
      <c r="HIY4" s="5"/>
      <c r="HIZ4" s="5"/>
      <c r="HJA4" s="5"/>
      <c r="HJB4" s="5"/>
      <c r="HJC4" s="5"/>
      <c r="HJD4" s="5"/>
      <c r="HJE4" s="5"/>
      <c r="HJF4" s="5"/>
      <c r="HJG4" s="5"/>
      <c r="HJH4" s="5"/>
      <c r="HJI4" s="5"/>
      <c r="HJJ4" s="5"/>
      <c r="HJK4" s="5"/>
      <c r="HJL4" s="5"/>
      <c r="HJM4" s="5"/>
      <c r="HJN4" s="5"/>
      <c r="HJO4" s="5"/>
      <c r="HJP4" s="5"/>
      <c r="HJQ4" s="5"/>
      <c r="HJR4" s="5"/>
      <c r="HJS4" s="5"/>
      <c r="HJT4" s="5"/>
      <c r="HJU4" s="5"/>
      <c r="HJV4" s="5"/>
      <c r="HJW4" s="5"/>
      <c r="HJX4" s="5"/>
      <c r="HJY4" s="5"/>
      <c r="HJZ4" s="5"/>
      <c r="HKA4" s="5"/>
      <c r="HKB4" s="5"/>
      <c r="HKC4" s="5"/>
      <c r="HKD4" s="5"/>
      <c r="HKE4" s="5"/>
      <c r="HKF4" s="5"/>
      <c r="HKG4" s="5"/>
      <c r="HKH4" s="5"/>
      <c r="HKI4" s="5"/>
      <c r="HKJ4" s="5"/>
      <c r="HKK4" s="5"/>
      <c r="HKL4" s="5"/>
      <c r="HKM4" s="5"/>
      <c r="HKN4" s="5"/>
      <c r="HKO4" s="5"/>
      <c r="HKP4" s="5"/>
      <c r="HKQ4" s="5"/>
      <c r="HKR4" s="5"/>
      <c r="HKS4" s="5"/>
      <c r="HKT4" s="5"/>
      <c r="HKU4" s="5"/>
      <c r="HKV4" s="5"/>
      <c r="HKW4" s="5"/>
      <c r="HKX4" s="5"/>
      <c r="HKY4" s="5"/>
      <c r="HKZ4" s="5"/>
      <c r="HLA4" s="5"/>
      <c r="HLB4" s="5"/>
      <c r="HLC4" s="5"/>
      <c r="HLD4" s="5"/>
      <c r="HLE4" s="5"/>
      <c r="HLF4" s="5"/>
      <c r="HLG4" s="5"/>
      <c r="HLH4" s="5"/>
      <c r="HLI4" s="5"/>
      <c r="HLJ4" s="5"/>
      <c r="HLK4" s="5"/>
      <c r="HLL4" s="5"/>
      <c r="HLM4" s="5"/>
      <c r="HLN4" s="5"/>
      <c r="HLO4" s="5"/>
      <c r="HLP4" s="5"/>
      <c r="HLQ4" s="5"/>
      <c r="HLR4" s="5"/>
      <c r="HLS4" s="5"/>
      <c r="HLT4" s="5"/>
      <c r="HLU4" s="5"/>
      <c r="HLV4" s="5"/>
      <c r="HLW4" s="5"/>
      <c r="HLX4" s="5"/>
      <c r="HLY4" s="5"/>
      <c r="HLZ4" s="5"/>
      <c r="HMA4" s="5"/>
      <c r="HMB4" s="5"/>
      <c r="HMC4" s="5"/>
      <c r="HMD4" s="5"/>
      <c r="HME4" s="5"/>
      <c r="HMF4" s="5"/>
      <c r="HMG4" s="5"/>
      <c r="HMH4" s="5"/>
      <c r="HMI4" s="5"/>
      <c r="HMJ4" s="5"/>
      <c r="HMK4" s="5"/>
      <c r="HML4" s="5"/>
      <c r="HMM4" s="5"/>
      <c r="HMN4" s="5"/>
      <c r="HMO4" s="5"/>
      <c r="HMP4" s="5"/>
      <c r="HMQ4" s="5"/>
      <c r="HMR4" s="5"/>
      <c r="HMS4" s="5"/>
      <c r="HMT4" s="5"/>
      <c r="HMU4" s="5"/>
      <c r="HMV4" s="5"/>
      <c r="HMW4" s="5"/>
      <c r="HMX4" s="5"/>
      <c r="HMY4" s="5"/>
      <c r="HMZ4" s="5"/>
      <c r="HNA4" s="5"/>
      <c r="HNB4" s="5"/>
      <c r="HNC4" s="5"/>
      <c r="HND4" s="5"/>
      <c r="HNE4" s="5"/>
      <c r="HNF4" s="5"/>
      <c r="HNG4" s="5"/>
      <c r="HNH4" s="5"/>
      <c r="HNI4" s="5"/>
      <c r="HNJ4" s="5"/>
      <c r="HNK4" s="5"/>
      <c r="HNL4" s="5"/>
      <c r="HNM4" s="5"/>
      <c r="HNN4" s="5"/>
      <c r="HNO4" s="5"/>
      <c r="HNP4" s="5"/>
      <c r="HNQ4" s="5"/>
      <c r="HNR4" s="5"/>
      <c r="HNS4" s="5"/>
      <c r="HNT4" s="5"/>
      <c r="HNU4" s="5"/>
      <c r="HNV4" s="5"/>
      <c r="HNW4" s="5"/>
      <c r="HNX4" s="5"/>
      <c r="HNY4" s="5"/>
      <c r="HNZ4" s="5"/>
      <c r="HOA4" s="5"/>
      <c r="HOB4" s="5"/>
      <c r="HOC4" s="5"/>
      <c r="HOD4" s="5"/>
      <c r="HOE4" s="5"/>
      <c r="HOF4" s="5"/>
      <c r="HOG4" s="5"/>
      <c r="HOH4" s="5"/>
      <c r="HOI4" s="5"/>
      <c r="HOJ4" s="5"/>
      <c r="HOK4" s="5"/>
      <c r="HOL4" s="5"/>
      <c r="HOM4" s="5"/>
      <c r="HON4" s="5"/>
      <c r="HOO4" s="5"/>
      <c r="HOP4" s="5"/>
      <c r="HOQ4" s="5"/>
      <c r="HOR4" s="5"/>
      <c r="HOS4" s="5"/>
      <c r="HOT4" s="5"/>
      <c r="HOU4" s="5"/>
      <c r="HOV4" s="5"/>
      <c r="HOW4" s="5"/>
      <c r="HOX4" s="5"/>
      <c r="HOY4" s="5"/>
      <c r="HOZ4" s="5"/>
      <c r="HPA4" s="5"/>
      <c r="HPB4" s="5"/>
      <c r="HPC4" s="5"/>
      <c r="HPD4" s="5"/>
      <c r="HPE4" s="5"/>
      <c r="HPF4" s="5"/>
      <c r="HPG4" s="5"/>
      <c r="HPH4" s="5"/>
      <c r="HPI4" s="5"/>
      <c r="HPJ4" s="5"/>
      <c r="HPK4" s="5"/>
      <c r="HPL4" s="5"/>
      <c r="HPM4" s="5"/>
      <c r="HPN4" s="5"/>
      <c r="HPO4" s="5"/>
      <c r="HPP4" s="5"/>
      <c r="HPQ4" s="5"/>
      <c r="HPR4" s="5"/>
      <c r="HPS4" s="5"/>
      <c r="HPT4" s="5"/>
      <c r="HPU4" s="5"/>
      <c r="HPV4" s="5"/>
      <c r="HPW4" s="5"/>
      <c r="HPX4" s="5"/>
      <c r="HPY4" s="5"/>
      <c r="HPZ4" s="5"/>
      <c r="HQA4" s="5"/>
      <c r="HQB4" s="5"/>
      <c r="HQC4" s="5"/>
      <c r="HQD4" s="5"/>
      <c r="HQE4" s="5"/>
      <c r="HQF4" s="5"/>
      <c r="HQG4" s="5"/>
      <c r="HQH4" s="5"/>
      <c r="HQI4" s="5"/>
      <c r="HQJ4" s="5"/>
      <c r="HQK4" s="5"/>
      <c r="HQL4" s="5"/>
      <c r="HQM4" s="5"/>
      <c r="HQN4" s="5"/>
      <c r="HQO4" s="5"/>
      <c r="HQP4" s="5"/>
      <c r="HQQ4" s="5"/>
      <c r="HQR4" s="5"/>
      <c r="HQS4" s="5"/>
      <c r="HQT4" s="5"/>
      <c r="HQU4" s="5"/>
      <c r="HQV4" s="5"/>
      <c r="HQW4" s="5"/>
      <c r="HQX4" s="5"/>
      <c r="HQY4" s="5"/>
      <c r="HQZ4" s="5"/>
      <c r="HRA4" s="5"/>
      <c r="HRB4" s="5"/>
      <c r="HRC4" s="5"/>
      <c r="HRD4" s="5"/>
      <c r="HRE4" s="5"/>
      <c r="HRF4" s="5"/>
      <c r="HRG4" s="5"/>
      <c r="HRH4" s="5"/>
      <c r="HRI4" s="5"/>
      <c r="HRJ4" s="5"/>
      <c r="HRK4" s="5"/>
      <c r="HRL4" s="5"/>
      <c r="HRM4" s="5"/>
      <c r="HRN4" s="5"/>
      <c r="HRO4" s="5"/>
      <c r="HRP4" s="5"/>
      <c r="HRQ4" s="5"/>
      <c r="HRR4" s="5"/>
      <c r="HRS4" s="5"/>
      <c r="HRT4" s="5"/>
      <c r="HRU4" s="5"/>
      <c r="HRV4" s="5"/>
      <c r="HRW4" s="5"/>
      <c r="HRX4" s="5"/>
      <c r="HRY4" s="5"/>
      <c r="HRZ4" s="5"/>
      <c r="HSA4" s="5"/>
      <c r="HSB4" s="5"/>
      <c r="HSC4" s="5"/>
      <c r="HSD4" s="5"/>
      <c r="HSE4" s="5"/>
      <c r="HSF4" s="5"/>
      <c r="HSG4" s="5"/>
      <c r="HSH4" s="5"/>
      <c r="HSI4" s="5"/>
      <c r="HSJ4" s="5"/>
      <c r="HSK4" s="5"/>
      <c r="HSL4" s="5"/>
      <c r="HSM4" s="5"/>
      <c r="HSN4" s="5"/>
      <c r="HSO4" s="5"/>
      <c r="HSP4" s="5"/>
      <c r="HSQ4" s="5"/>
      <c r="HSR4" s="5"/>
      <c r="HSS4" s="5"/>
      <c r="HST4" s="5"/>
      <c r="HSU4" s="5"/>
      <c r="HSV4" s="5"/>
      <c r="HSW4" s="5"/>
      <c r="HSX4" s="5"/>
      <c r="HSY4" s="5"/>
      <c r="HSZ4" s="5"/>
      <c r="HTA4" s="5"/>
      <c r="HTB4" s="5"/>
      <c r="HTC4" s="5"/>
      <c r="HTD4" s="5"/>
      <c r="HTE4" s="5"/>
      <c r="HTF4" s="5"/>
      <c r="HTG4" s="5"/>
      <c r="HTH4" s="5"/>
      <c r="HTI4" s="5"/>
      <c r="HTJ4" s="5"/>
      <c r="HTK4" s="5"/>
      <c r="HTL4" s="5"/>
      <c r="HTM4" s="5"/>
      <c r="HTN4" s="5"/>
      <c r="HTO4" s="5"/>
      <c r="HTP4" s="5"/>
      <c r="HTQ4" s="5"/>
      <c r="HTR4" s="5"/>
      <c r="HTS4" s="5"/>
      <c r="HTT4" s="5"/>
      <c r="HTU4" s="5"/>
      <c r="HTV4" s="5"/>
      <c r="HTW4" s="5"/>
      <c r="HTX4" s="5"/>
      <c r="HTY4" s="5"/>
      <c r="HTZ4" s="5"/>
      <c r="HUA4" s="5"/>
      <c r="HUB4" s="5"/>
      <c r="HUC4" s="5"/>
      <c r="HUD4" s="5"/>
      <c r="HUE4" s="5"/>
      <c r="HUF4" s="5"/>
      <c r="HUG4" s="5"/>
      <c r="HUH4" s="5"/>
      <c r="HUI4" s="5"/>
      <c r="HUJ4" s="5"/>
      <c r="HUK4" s="5"/>
      <c r="HUL4" s="5"/>
      <c r="HUM4" s="5"/>
      <c r="HUN4" s="5"/>
      <c r="HUO4" s="5"/>
      <c r="HUP4" s="5"/>
      <c r="HUQ4" s="5"/>
      <c r="HUR4" s="5"/>
      <c r="HUS4" s="5"/>
      <c r="HUT4" s="5"/>
      <c r="HUU4" s="5"/>
      <c r="HUV4" s="5"/>
      <c r="HUW4" s="5"/>
      <c r="HUX4" s="5"/>
      <c r="HUY4" s="5"/>
      <c r="HUZ4" s="5"/>
      <c r="HVA4" s="5"/>
      <c r="HVB4" s="5"/>
      <c r="HVC4" s="5"/>
      <c r="HVD4" s="5"/>
      <c r="HVE4" s="5"/>
      <c r="HVF4" s="5"/>
      <c r="HVG4" s="5"/>
      <c r="HVH4" s="5"/>
      <c r="HVI4" s="5"/>
      <c r="HVJ4" s="5"/>
      <c r="HVK4" s="5"/>
      <c r="HVL4" s="5"/>
      <c r="HVM4" s="5"/>
      <c r="HVN4" s="5"/>
      <c r="HVO4" s="5"/>
      <c r="HVP4" s="5"/>
      <c r="HVQ4" s="5"/>
      <c r="HVR4" s="5"/>
      <c r="HVS4" s="5"/>
      <c r="HVT4" s="5"/>
      <c r="HVU4" s="5"/>
      <c r="HVV4" s="5"/>
      <c r="HVW4" s="5"/>
      <c r="HVX4" s="5"/>
      <c r="HVY4" s="5"/>
      <c r="HVZ4" s="5"/>
      <c r="HWA4" s="5"/>
      <c r="HWB4" s="5"/>
      <c r="HWC4" s="5"/>
      <c r="HWD4" s="5"/>
      <c r="HWE4" s="5"/>
      <c r="HWF4" s="5"/>
      <c r="HWG4" s="5"/>
      <c r="HWH4" s="5"/>
      <c r="HWI4" s="5"/>
      <c r="HWJ4" s="5"/>
      <c r="HWK4" s="5"/>
      <c r="HWL4" s="5"/>
      <c r="HWM4" s="5"/>
      <c r="HWN4" s="5"/>
      <c r="HWO4" s="5"/>
      <c r="HWP4" s="5"/>
      <c r="HWQ4" s="5"/>
      <c r="HWR4" s="5"/>
      <c r="HWS4" s="5"/>
      <c r="HWT4" s="5"/>
      <c r="HWU4" s="5"/>
      <c r="HWV4" s="5"/>
      <c r="HWW4" s="5"/>
      <c r="HWX4" s="5"/>
      <c r="HWY4" s="5"/>
      <c r="HWZ4" s="5"/>
      <c r="HXA4" s="5"/>
      <c r="HXB4" s="5"/>
      <c r="HXC4" s="5"/>
      <c r="HXD4" s="5"/>
      <c r="HXE4" s="5"/>
      <c r="HXF4" s="5"/>
      <c r="HXG4" s="5"/>
      <c r="HXH4" s="5"/>
      <c r="HXI4" s="5"/>
      <c r="HXJ4" s="5"/>
      <c r="HXK4" s="5"/>
      <c r="HXL4" s="5"/>
      <c r="HXM4" s="5"/>
      <c r="HXN4" s="5"/>
      <c r="HXO4" s="5"/>
      <c r="HXP4" s="5"/>
      <c r="HXQ4" s="5"/>
      <c r="HXR4" s="5"/>
      <c r="HXS4" s="5"/>
      <c r="HXT4" s="5"/>
      <c r="HXU4" s="5"/>
      <c r="HXV4" s="5"/>
      <c r="HXW4" s="5"/>
      <c r="HXX4" s="5"/>
      <c r="HXY4" s="5"/>
      <c r="HXZ4" s="5"/>
      <c r="HYA4" s="5"/>
      <c r="HYB4" s="5"/>
      <c r="HYC4" s="5"/>
      <c r="HYD4" s="5"/>
      <c r="HYE4" s="5"/>
      <c r="HYF4" s="5"/>
      <c r="HYG4" s="5"/>
      <c r="HYH4" s="5"/>
      <c r="HYI4" s="5"/>
      <c r="HYJ4" s="5"/>
      <c r="HYK4" s="5"/>
      <c r="HYL4" s="5"/>
      <c r="HYM4" s="5"/>
      <c r="HYN4" s="5"/>
      <c r="HYO4" s="5"/>
      <c r="HYP4" s="5"/>
      <c r="HYQ4" s="5"/>
      <c r="HYR4" s="5"/>
      <c r="HYS4" s="5"/>
      <c r="HYT4" s="5"/>
      <c r="HYU4" s="5"/>
      <c r="HYV4" s="5"/>
      <c r="HYW4" s="5"/>
      <c r="HYX4" s="5"/>
      <c r="HYY4" s="5"/>
      <c r="HYZ4" s="5"/>
      <c r="HZA4" s="5"/>
      <c r="HZB4" s="5"/>
      <c r="HZC4" s="5"/>
      <c r="HZD4" s="5"/>
      <c r="HZE4" s="5"/>
      <c r="HZF4" s="5"/>
      <c r="HZG4" s="5"/>
      <c r="HZH4" s="5"/>
      <c r="HZI4" s="5"/>
      <c r="HZJ4" s="5"/>
      <c r="HZK4" s="5"/>
      <c r="HZL4" s="5"/>
      <c r="HZM4" s="5"/>
      <c r="HZN4" s="5"/>
      <c r="HZO4" s="5"/>
      <c r="HZP4" s="5"/>
      <c r="HZQ4" s="5"/>
      <c r="HZR4" s="5"/>
      <c r="HZS4" s="5"/>
      <c r="HZT4" s="5"/>
      <c r="HZU4" s="5"/>
      <c r="HZV4" s="5"/>
      <c r="HZW4" s="5"/>
      <c r="HZX4" s="5"/>
      <c r="HZY4" s="5"/>
      <c r="HZZ4" s="5"/>
      <c r="IAA4" s="5"/>
      <c r="IAB4" s="5"/>
      <c r="IAC4" s="5"/>
      <c r="IAD4" s="5"/>
      <c r="IAE4" s="5"/>
      <c r="IAF4" s="5"/>
      <c r="IAG4" s="5"/>
      <c r="IAH4" s="5"/>
      <c r="IAI4" s="5"/>
      <c r="IAJ4" s="5"/>
      <c r="IAK4" s="5"/>
      <c r="IAL4" s="5"/>
      <c r="IAM4" s="5"/>
      <c r="IAN4" s="5"/>
      <c r="IAO4" s="5"/>
      <c r="IAP4" s="5"/>
      <c r="IAQ4" s="5"/>
      <c r="IAR4" s="5"/>
      <c r="IAS4" s="5"/>
      <c r="IAT4" s="5"/>
      <c r="IAU4" s="5"/>
      <c r="IAV4" s="5"/>
      <c r="IAW4" s="5"/>
      <c r="IAX4" s="5"/>
      <c r="IAY4" s="5"/>
      <c r="IAZ4" s="5"/>
      <c r="IBA4" s="5"/>
      <c r="IBB4" s="5"/>
      <c r="IBC4" s="5"/>
      <c r="IBD4" s="5"/>
      <c r="IBE4" s="5"/>
      <c r="IBF4" s="5"/>
      <c r="IBG4" s="5"/>
      <c r="IBH4" s="5"/>
      <c r="IBI4" s="5"/>
      <c r="IBJ4" s="5"/>
      <c r="IBK4" s="5"/>
      <c r="IBL4" s="5"/>
      <c r="IBM4" s="5"/>
      <c r="IBN4" s="5"/>
      <c r="IBO4" s="5"/>
      <c r="IBP4" s="5"/>
      <c r="IBQ4" s="5"/>
      <c r="IBR4" s="5"/>
      <c r="IBS4" s="5"/>
      <c r="IBT4" s="5"/>
      <c r="IBU4" s="5"/>
      <c r="IBV4" s="5"/>
      <c r="IBW4" s="5"/>
      <c r="IBX4" s="5"/>
      <c r="IBY4" s="5"/>
      <c r="IBZ4" s="5"/>
      <c r="ICA4" s="5"/>
      <c r="ICB4" s="5"/>
      <c r="ICC4" s="5"/>
      <c r="ICD4" s="5"/>
      <c r="ICE4" s="5"/>
      <c r="ICF4" s="5"/>
      <c r="ICG4" s="5"/>
      <c r="ICH4" s="5"/>
      <c r="ICI4" s="5"/>
      <c r="ICJ4" s="5"/>
      <c r="ICK4" s="5"/>
      <c r="ICL4" s="5"/>
      <c r="ICM4" s="5"/>
      <c r="ICN4" s="5"/>
      <c r="ICO4" s="5"/>
      <c r="ICP4" s="5"/>
      <c r="ICQ4" s="5"/>
      <c r="ICR4" s="5"/>
      <c r="ICS4" s="5"/>
      <c r="ICT4" s="5"/>
      <c r="ICU4" s="5"/>
      <c r="ICV4" s="5"/>
      <c r="ICW4" s="5"/>
      <c r="ICX4" s="5"/>
      <c r="ICY4" s="5"/>
      <c r="ICZ4" s="5"/>
      <c r="IDA4" s="5"/>
      <c r="IDB4" s="5"/>
      <c r="IDC4" s="5"/>
      <c r="IDD4" s="5"/>
      <c r="IDE4" s="5"/>
      <c r="IDF4" s="5"/>
      <c r="IDG4" s="5"/>
      <c r="IDH4" s="5"/>
      <c r="IDI4" s="5"/>
      <c r="IDJ4" s="5"/>
      <c r="IDK4" s="5"/>
      <c r="IDL4" s="5"/>
      <c r="IDM4" s="5"/>
      <c r="IDN4" s="5"/>
      <c r="IDO4" s="5"/>
      <c r="IDP4" s="5"/>
      <c r="IDQ4" s="5"/>
      <c r="IDR4" s="5"/>
      <c r="IDS4" s="5"/>
      <c r="IDT4" s="5"/>
      <c r="IDU4" s="5"/>
      <c r="IDV4" s="5"/>
      <c r="IDW4" s="5"/>
      <c r="IDX4" s="5"/>
      <c r="IDY4" s="5"/>
      <c r="IDZ4" s="5"/>
      <c r="IEA4" s="5"/>
      <c r="IEB4" s="5"/>
      <c r="IEC4" s="5"/>
      <c r="IED4" s="5"/>
      <c r="IEE4" s="5"/>
      <c r="IEF4" s="5"/>
      <c r="IEG4" s="5"/>
      <c r="IEH4" s="5"/>
      <c r="IEI4" s="5"/>
      <c r="IEJ4" s="5"/>
      <c r="IEK4" s="5"/>
      <c r="IEL4" s="5"/>
      <c r="IEM4" s="5"/>
      <c r="IEN4" s="5"/>
      <c r="IEO4" s="5"/>
      <c r="IEP4" s="5"/>
      <c r="IEQ4" s="5"/>
      <c r="IER4" s="5"/>
      <c r="IES4" s="5"/>
      <c r="IET4" s="5"/>
      <c r="IEU4" s="5"/>
      <c r="IEV4" s="5"/>
      <c r="IEW4" s="5"/>
      <c r="IEX4" s="5"/>
      <c r="IEY4" s="5"/>
      <c r="IEZ4" s="5"/>
      <c r="IFA4" s="5"/>
      <c r="IFB4" s="5"/>
      <c r="IFC4" s="5"/>
      <c r="IFD4" s="5"/>
      <c r="IFE4" s="5"/>
      <c r="IFF4" s="5"/>
      <c r="IFG4" s="5"/>
      <c r="IFH4" s="5"/>
      <c r="IFI4" s="5"/>
      <c r="IFJ4" s="5"/>
      <c r="IFK4" s="5"/>
      <c r="IFL4" s="5"/>
      <c r="IFM4" s="5"/>
      <c r="IFN4" s="5"/>
      <c r="IFO4" s="5"/>
      <c r="IFP4" s="5"/>
      <c r="IFQ4" s="5"/>
      <c r="IFR4" s="5"/>
      <c r="IFS4" s="5"/>
      <c r="IFT4" s="5"/>
      <c r="IFU4" s="5"/>
      <c r="IFV4" s="5"/>
      <c r="IFW4" s="5"/>
      <c r="IFX4" s="5"/>
      <c r="IFY4" s="5"/>
      <c r="IFZ4" s="5"/>
      <c r="IGA4" s="5"/>
      <c r="IGB4" s="5"/>
      <c r="IGC4" s="5"/>
      <c r="IGD4" s="5"/>
      <c r="IGE4" s="5"/>
      <c r="IGF4" s="5"/>
      <c r="IGG4" s="5"/>
      <c r="IGH4" s="5"/>
      <c r="IGI4" s="5"/>
      <c r="IGJ4" s="5"/>
      <c r="IGK4" s="5"/>
      <c r="IGL4" s="5"/>
      <c r="IGM4" s="5"/>
      <c r="IGN4" s="5"/>
      <c r="IGO4" s="5"/>
      <c r="IGP4" s="5"/>
      <c r="IGQ4" s="5"/>
      <c r="IGR4" s="5"/>
      <c r="IGS4" s="5"/>
      <c r="IGT4" s="5"/>
      <c r="IGU4" s="5"/>
      <c r="IGV4" s="5"/>
      <c r="IGW4" s="5"/>
      <c r="IGX4" s="5"/>
      <c r="IGY4" s="5"/>
      <c r="IGZ4" s="5"/>
      <c r="IHA4" s="5"/>
      <c r="IHB4" s="5"/>
      <c r="IHC4" s="5"/>
      <c r="IHD4" s="5"/>
      <c r="IHE4" s="5"/>
      <c r="IHF4" s="5"/>
      <c r="IHG4" s="5"/>
      <c r="IHH4" s="5"/>
      <c r="IHI4" s="5"/>
      <c r="IHJ4" s="5"/>
      <c r="IHK4" s="5"/>
      <c r="IHL4" s="5"/>
      <c r="IHM4" s="5"/>
      <c r="IHN4" s="5"/>
      <c r="IHO4" s="5"/>
      <c r="IHP4" s="5"/>
      <c r="IHQ4" s="5"/>
      <c r="IHR4" s="5"/>
      <c r="IHS4" s="5"/>
      <c r="IHT4" s="5"/>
      <c r="IHU4" s="5"/>
      <c r="IHV4" s="5"/>
      <c r="IHW4" s="5"/>
      <c r="IHX4" s="5"/>
      <c r="IHY4" s="5"/>
      <c r="IHZ4" s="5"/>
      <c r="IIA4" s="5"/>
      <c r="IIB4" s="5"/>
      <c r="IIC4" s="5"/>
      <c r="IID4" s="5"/>
      <c r="IIE4" s="5"/>
      <c r="IIF4" s="5"/>
      <c r="IIG4" s="5"/>
      <c r="IIH4" s="5"/>
      <c r="III4" s="5"/>
      <c r="IIJ4" s="5"/>
      <c r="IIK4" s="5"/>
      <c r="IIL4" s="5"/>
      <c r="IIM4" s="5"/>
      <c r="IIN4" s="5"/>
      <c r="IIO4" s="5"/>
      <c r="IIP4" s="5"/>
      <c r="IIQ4" s="5"/>
      <c r="IIR4" s="5"/>
      <c r="IIS4" s="5"/>
      <c r="IIT4" s="5"/>
      <c r="IIU4" s="5"/>
      <c r="IIV4" s="5"/>
      <c r="IIW4" s="5"/>
      <c r="IIX4" s="5"/>
      <c r="IIY4" s="5"/>
      <c r="IIZ4" s="5"/>
      <c r="IJA4" s="5"/>
      <c r="IJB4" s="5"/>
      <c r="IJC4" s="5"/>
      <c r="IJD4" s="5"/>
      <c r="IJE4" s="5"/>
      <c r="IJF4" s="5"/>
      <c r="IJG4" s="5"/>
      <c r="IJH4" s="5"/>
      <c r="IJI4" s="5"/>
      <c r="IJJ4" s="5"/>
      <c r="IJK4" s="5"/>
      <c r="IJL4" s="5"/>
      <c r="IJM4" s="5"/>
      <c r="IJN4" s="5"/>
      <c r="IJO4" s="5"/>
      <c r="IJP4" s="5"/>
      <c r="IJQ4" s="5"/>
      <c r="IJR4" s="5"/>
      <c r="IJS4" s="5"/>
      <c r="IJT4" s="5"/>
      <c r="IJU4" s="5"/>
      <c r="IJV4" s="5"/>
      <c r="IJW4" s="5"/>
      <c r="IJX4" s="5"/>
      <c r="IJY4" s="5"/>
      <c r="IJZ4" s="5"/>
      <c r="IKA4" s="5"/>
      <c r="IKB4" s="5"/>
      <c r="IKC4" s="5"/>
      <c r="IKD4" s="5"/>
      <c r="IKE4" s="5"/>
      <c r="IKF4" s="5"/>
      <c r="IKG4" s="5"/>
      <c r="IKH4" s="5"/>
      <c r="IKI4" s="5"/>
      <c r="IKJ4" s="5"/>
      <c r="IKK4" s="5"/>
      <c r="IKL4" s="5"/>
      <c r="IKM4" s="5"/>
      <c r="IKN4" s="5"/>
      <c r="IKO4" s="5"/>
      <c r="IKP4" s="5"/>
      <c r="IKQ4" s="5"/>
      <c r="IKR4" s="5"/>
      <c r="IKS4" s="5"/>
      <c r="IKT4" s="5"/>
      <c r="IKU4" s="5"/>
      <c r="IKV4" s="5"/>
      <c r="IKW4" s="5"/>
      <c r="IKX4" s="5"/>
      <c r="IKY4" s="5"/>
      <c r="IKZ4" s="5"/>
      <c r="ILA4" s="5"/>
      <c r="ILB4" s="5"/>
      <c r="ILC4" s="5"/>
      <c r="ILD4" s="5"/>
      <c r="ILE4" s="5"/>
      <c r="ILF4" s="5"/>
      <c r="ILG4" s="5"/>
      <c r="ILH4" s="5"/>
      <c r="ILI4" s="5"/>
      <c r="ILJ4" s="5"/>
      <c r="ILK4" s="5"/>
      <c r="ILL4" s="5"/>
      <c r="ILM4" s="5"/>
      <c r="ILN4" s="5"/>
      <c r="ILO4" s="5"/>
      <c r="ILP4" s="5"/>
      <c r="ILQ4" s="5"/>
      <c r="ILR4" s="5"/>
      <c r="ILS4" s="5"/>
      <c r="ILT4" s="5"/>
      <c r="ILU4" s="5"/>
      <c r="ILV4" s="5"/>
      <c r="ILW4" s="5"/>
      <c r="ILX4" s="5"/>
      <c r="ILY4" s="5"/>
      <c r="ILZ4" s="5"/>
      <c r="IMA4" s="5"/>
      <c r="IMB4" s="5"/>
      <c r="IMC4" s="5"/>
      <c r="IMD4" s="5"/>
      <c r="IME4" s="5"/>
      <c r="IMF4" s="5"/>
      <c r="IMG4" s="5"/>
      <c r="IMH4" s="5"/>
      <c r="IMI4" s="5"/>
      <c r="IMJ4" s="5"/>
      <c r="IMK4" s="5"/>
      <c r="IML4" s="5"/>
      <c r="IMM4" s="5"/>
      <c r="IMN4" s="5"/>
      <c r="IMO4" s="5"/>
      <c r="IMP4" s="5"/>
      <c r="IMQ4" s="5"/>
      <c r="IMR4" s="5"/>
      <c r="IMS4" s="5"/>
      <c r="IMT4" s="5"/>
      <c r="IMU4" s="5"/>
      <c r="IMV4" s="5"/>
      <c r="IMW4" s="5"/>
      <c r="IMX4" s="5"/>
      <c r="IMY4" s="5"/>
      <c r="IMZ4" s="5"/>
      <c r="INA4" s="5"/>
      <c r="INB4" s="5"/>
      <c r="INC4" s="5"/>
      <c r="IND4" s="5"/>
      <c r="INE4" s="5"/>
      <c r="INF4" s="5"/>
      <c r="ING4" s="5"/>
      <c r="INH4" s="5"/>
      <c r="INI4" s="5"/>
      <c r="INJ4" s="5"/>
      <c r="INK4" s="5"/>
      <c r="INL4" s="5"/>
      <c r="INM4" s="5"/>
      <c r="INN4" s="5"/>
      <c r="INO4" s="5"/>
      <c r="INP4" s="5"/>
      <c r="INQ4" s="5"/>
      <c r="INR4" s="5"/>
      <c r="INS4" s="5"/>
      <c r="INT4" s="5"/>
      <c r="INU4" s="5"/>
      <c r="INV4" s="5"/>
      <c r="INW4" s="5"/>
      <c r="INX4" s="5"/>
      <c r="INY4" s="5"/>
      <c r="INZ4" s="5"/>
      <c r="IOA4" s="5"/>
      <c r="IOB4" s="5"/>
      <c r="IOC4" s="5"/>
      <c r="IOD4" s="5"/>
      <c r="IOE4" s="5"/>
      <c r="IOF4" s="5"/>
      <c r="IOG4" s="5"/>
      <c r="IOH4" s="5"/>
      <c r="IOI4" s="5"/>
      <c r="IOJ4" s="5"/>
      <c r="IOK4" s="5"/>
      <c r="IOL4" s="5"/>
      <c r="IOM4" s="5"/>
      <c r="ION4" s="5"/>
      <c r="IOO4" s="5"/>
      <c r="IOP4" s="5"/>
      <c r="IOQ4" s="5"/>
      <c r="IOR4" s="5"/>
      <c r="IOS4" s="5"/>
      <c r="IOT4" s="5"/>
      <c r="IOU4" s="5"/>
      <c r="IOV4" s="5"/>
      <c r="IOW4" s="5"/>
      <c r="IOX4" s="5"/>
      <c r="IOY4" s="5"/>
      <c r="IOZ4" s="5"/>
      <c r="IPA4" s="5"/>
      <c r="IPB4" s="5"/>
      <c r="IPC4" s="5"/>
      <c r="IPD4" s="5"/>
      <c r="IPE4" s="5"/>
      <c r="IPF4" s="5"/>
      <c r="IPG4" s="5"/>
      <c r="IPH4" s="5"/>
      <c r="IPI4" s="5"/>
      <c r="IPJ4" s="5"/>
      <c r="IPK4" s="5"/>
      <c r="IPL4" s="5"/>
      <c r="IPM4" s="5"/>
      <c r="IPN4" s="5"/>
      <c r="IPO4" s="5"/>
      <c r="IPP4" s="5"/>
      <c r="IPQ4" s="5"/>
      <c r="IPR4" s="5"/>
      <c r="IPS4" s="5"/>
      <c r="IPT4" s="5"/>
      <c r="IPU4" s="5"/>
      <c r="IPV4" s="5"/>
      <c r="IPW4" s="5"/>
      <c r="IPX4" s="5"/>
      <c r="IPY4" s="5"/>
      <c r="IPZ4" s="5"/>
      <c r="IQA4" s="5"/>
      <c r="IQB4" s="5"/>
      <c r="IQC4" s="5"/>
      <c r="IQD4" s="5"/>
      <c r="IQE4" s="5"/>
      <c r="IQF4" s="5"/>
      <c r="IQG4" s="5"/>
      <c r="IQH4" s="5"/>
      <c r="IQI4" s="5"/>
      <c r="IQJ4" s="5"/>
      <c r="IQK4" s="5"/>
      <c r="IQL4" s="5"/>
      <c r="IQM4" s="5"/>
      <c r="IQN4" s="5"/>
      <c r="IQO4" s="5"/>
      <c r="IQP4" s="5"/>
      <c r="IQQ4" s="5"/>
      <c r="IQR4" s="5"/>
      <c r="IQS4" s="5"/>
      <c r="IQT4" s="5"/>
      <c r="IQU4" s="5"/>
      <c r="IQV4" s="5"/>
      <c r="IQW4" s="5"/>
      <c r="IQX4" s="5"/>
      <c r="IQY4" s="5"/>
      <c r="IQZ4" s="5"/>
      <c r="IRA4" s="5"/>
      <c r="IRB4" s="5"/>
      <c r="IRC4" s="5"/>
      <c r="IRD4" s="5"/>
      <c r="IRE4" s="5"/>
      <c r="IRF4" s="5"/>
      <c r="IRG4" s="5"/>
      <c r="IRH4" s="5"/>
      <c r="IRI4" s="5"/>
      <c r="IRJ4" s="5"/>
      <c r="IRK4" s="5"/>
      <c r="IRL4" s="5"/>
      <c r="IRM4" s="5"/>
      <c r="IRN4" s="5"/>
      <c r="IRO4" s="5"/>
      <c r="IRP4" s="5"/>
      <c r="IRQ4" s="5"/>
      <c r="IRR4" s="5"/>
      <c r="IRS4" s="5"/>
      <c r="IRT4" s="5"/>
      <c r="IRU4" s="5"/>
      <c r="IRV4" s="5"/>
      <c r="IRW4" s="5"/>
      <c r="IRX4" s="5"/>
      <c r="IRY4" s="5"/>
      <c r="IRZ4" s="5"/>
      <c r="ISA4" s="5"/>
      <c r="ISB4" s="5"/>
      <c r="ISC4" s="5"/>
      <c r="ISD4" s="5"/>
      <c r="ISE4" s="5"/>
      <c r="ISF4" s="5"/>
      <c r="ISG4" s="5"/>
      <c r="ISH4" s="5"/>
      <c r="ISI4" s="5"/>
      <c r="ISJ4" s="5"/>
      <c r="ISK4" s="5"/>
      <c r="ISL4" s="5"/>
      <c r="ISM4" s="5"/>
      <c r="ISN4" s="5"/>
      <c r="ISO4" s="5"/>
      <c r="ISP4" s="5"/>
      <c r="ISQ4" s="5"/>
      <c r="ISR4" s="5"/>
      <c r="ISS4" s="5"/>
      <c r="IST4" s="5"/>
      <c r="ISU4" s="5"/>
      <c r="ISV4" s="5"/>
      <c r="ISW4" s="5"/>
      <c r="ISX4" s="5"/>
      <c r="ISY4" s="5"/>
      <c r="ISZ4" s="5"/>
      <c r="ITA4" s="5"/>
      <c r="ITB4" s="5"/>
      <c r="ITC4" s="5"/>
      <c r="ITD4" s="5"/>
      <c r="ITE4" s="5"/>
      <c r="ITF4" s="5"/>
      <c r="ITG4" s="5"/>
      <c r="ITH4" s="5"/>
      <c r="ITI4" s="5"/>
      <c r="ITJ4" s="5"/>
      <c r="ITK4" s="5"/>
      <c r="ITL4" s="5"/>
      <c r="ITM4" s="5"/>
      <c r="ITN4" s="5"/>
      <c r="ITO4" s="5"/>
      <c r="ITP4" s="5"/>
      <c r="ITQ4" s="5"/>
      <c r="ITR4" s="5"/>
      <c r="ITS4" s="5"/>
      <c r="ITT4" s="5"/>
      <c r="ITU4" s="5"/>
      <c r="ITV4" s="5"/>
      <c r="ITW4" s="5"/>
      <c r="ITX4" s="5"/>
      <c r="ITY4" s="5"/>
      <c r="ITZ4" s="5"/>
      <c r="IUA4" s="5"/>
      <c r="IUB4" s="5"/>
      <c r="IUC4" s="5"/>
      <c r="IUD4" s="5"/>
      <c r="IUE4" s="5"/>
      <c r="IUF4" s="5"/>
      <c r="IUG4" s="5"/>
      <c r="IUH4" s="5"/>
      <c r="IUI4" s="5"/>
      <c r="IUJ4" s="5"/>
      <c r="IUK4" s="5"/>
      <c r="IUL4" s="5"/>
      <c r="IUM4" s="5"/>
      <c r="IUN4" s="5"/>
      <c r="IUO4" s="5"/>
      <c r="IUP4" s="5"/>
      <c r="IUQ4" s="5"/>
      <c r="IUR4" s="5"/>
      <c r="IUS4" s="5"/>
      <c r="IUT4" s="5"/>
      <c r="IUU4" s="5"/>
      <c r="IUV4" s="5"/>
      <c r="IUW4" s="5"/>
      <c r="IUX4" s="5"/>
      <c r="IUY4" s="5"/>
      <c r="IUZ4" s="5"/>
      <c r="IVA4" s="5"/>
      <c r="IVB4" s="5"/>
      <c r="IVC4" s="5"/>
      <c r="IVD4" s="5"/>
      <c r="IVE4" s="5"/>
      <c r="IVF4" s="5"/>
      <c r="IVG4" s="5"/>
      <c r="IVH4" s="5"/>
      <c r="IVI4" s="5"/>
      <c r="IVJ4" s="5"/>
      <c r="IVK4" s="5"/>
      <c r="IVL4" s="5"/>
      <c r="IVM4" s="5"/>
      <c r="IVN4" s="5"/>
      <c r="IVO4" s="5"/>
      <c r="IVP4" s="5"/>
      <c r="IVQ4" s="5"/>
      <c r="IVR4" s="5"/>
      <c r="IVS4" s="5"/>
      <c r="IVT4" s="5"/>
      <c r="IVU4" s="5"/>
      <c r="IVV4" s="5"/>
      <c r="IVW4" s="5"/>
      <c r="IVX4" s="5"/>
      <c r="IVY4" s="5"/>
      <c r="IVZ4" s="5"/>
      <c r="IWA4" s="5"/>
      <c r="IWB4" s="5"/>
      <c r="IWC4" s="5"/>
      <c r="IWD4" s="5"/>
      <c r="IWE4" s="5"/>
      <c r="IWF4" s="5"/>
      <c r="IWG4" s="5"/>
      <c r="IWH4" s="5"/>
      <c r="IWI4" s="5"/>
      <c r="IWJ4" s="5"/>
      <c r="IWK4" s="5"/>
      <c r="IWL4" s="5"/>
      <c r="IWM4" s="5"/>
      <c r="IWN4" s="5"/>
      <c r="IWO4" s="5"/>
      <c r="IWP4" s="5"/>
      <c r="IWQ4" s="5"/>
      <c r="IWR4" s="5"/>
      <c r="IWS4" s="5"/>
      <c r="IWT4" s="5"/>
      <c r="IWU4" s="5"/>
      <c r="IWV4" s="5"/>
      <c r="IWW4" s="5"/>
      <c r="IWX4" s="5"/>
      <c r="IWY4" s="5"/>
      <c r="IWZ4" s="5"/>
      <c r="IXA4" s="5"/>
      <c r="IXB4" s="5"/>
      <c r="IXC4" s="5"/>
      <c r="IXD4" s="5"/>
      <c r="IXE4" s="5"/>
      <c r="IXF4" s="5"/>
      <c r="IXG4" s="5"/>
      <c r="IXH4" s="5"/>
      <c r="IXI4" s="5"/>
      <c r="IXJ4" s="5"/>
      <c r="IXK4" s="5"/>
      <c r="IXL4" s="5"/>
      <c r="IXM4" s="5"/>
      <c r="IXN4" s="5"/>
      <c r="IXO4" s="5"/>
      <c r="IXP4" s="5"/>
      <c r="IXQ4" s="5"/>
      <c r="IXR4" s="5"/>
      <c r="IXS4" s="5"/>
      <c r="IXT4" s="5"/>
      <c r="IXU4" s="5"/>
      <c r="IXV4" s="5"/>
      <c r="IXW4" s="5"/>
      <c r="IXX4" s="5"/>
      <c r="IXY4" s="5"/>
      <c r="IXZ4" s="5"/>
      <c r="IYA4" s="5"/>
      <c r="IYB4" s="5"/>
      <c r="IYC4" s="5"/>
      <c r="IYD4" s="5"/>
      <c r="IYE4" s="5"/>
      <c r="IYF4" s="5"/>
      <c r="IYG4" s="5"/>
      <c r="IYH4" s="5"/>
      <c r="IYI4" s="5"/>
      <c r="IYJ4" s="5"/>
      <c r="IYK4" s="5"/>
      <c r="IYL4" s="5"/>
      <c r="IYM4" s="5"/>
      <c r="IYN4" s="5"/>
      <c r="IYO4" s="5"/>
      <c r="IYP4" s="5"/>
      <c r="IYQ4" s="5"/>
      <c r="IYR4" s="5"/>
      <c r="IYS4" s="5"/>
      <c r="IYT4" s="5"/>
      <c r="IYU4" s="5"/>
      <c r="IYV4" s="5"/>
      <c r="IYW4" s="5"/>
      <c r="IYX4" s="5"/>
      <c r="IYY4" s="5"/>
      <c r="IYZ4" s="5"/>
      <c r="IZA4" s="5"/>
      <c r="IZB4" s="5"/>
      <c r="IZC4" s="5"/>
      <c r="IZD4" s="5"/>
      <c r="IZE4" s="5"/>
      <c r="IZF4" s="5"/>
      <c r="IZG4" s="5"/>
      <c r="IZH4" s="5"/>
      <c r="IZI4" s="5"/>
      <c r="IZJ4" s="5"/>
      <c r="IZK4" s="5"/>
      <c r="IZL4" s="5"/>
      <c r="IZM4" s="5"/>
      <c r="IZN4" s="5"/>
      <c r="IZO4" s="5"/>
      <c r="IZP4" s="5"/>
      <c r="IZQ4" s="5"/>
      <c r="IZR4" s="5"/>
      <c r="IZS4" s="5"/>
      <c r="IZT4" s="5"/>
      <c r="IZU4" s="5"/>
      <c r="IZV4" s="5"/>
      <c r="IZW4" s="5"/>
      <c r="IZX4" s="5"/>
      <c r="IZY4" s="5"/>
      <c r="IZZ4" s="5"/>
      <c r="JAA4" s="5"/>
      <c r="JAB4" s="5"/>
      <c r="JAC4" s="5"/>
      <c r="JAD4" s="5"/>
      <c r="JAE4" s="5"/>
      <c r="JAF4" s="5"/>
      <c r="JAG4" s="5"/>
      <c r="JAH4" s="5"/>
      <c r="JAI4" s="5"/>
      <c r="JAJ4" s="5"/>
      <c r="JAK4" s="5"/>
      <c r="JAL4" s="5"/>
      <c r="JAM4" s="5"/>
      <c r="JAN4" s="5"/>
      <c r="JAO4" s="5"/>
      <c r="JAP4" s="5"/>
      <c r="JAQ4" s="5"/>
      <c r="JAR4" s="5"/>
      <c r="JAS4" s="5"/>
      <c r="JAT4" s="5"/>
      <c r="JAU4" s="5"/>
      <c r="JAV4" s="5"/>
      <c r="JAW4" s="5"/>
      <c r="JAX4" s="5"/>
      <c r="JAY4" s="5"/>
      <c r="JAZ4" s="5"/>
      <c r="JBA4" s="5"/>
      <c r="JBB4" s="5"/>
      <c r="JBC4" s="5"/>
      <c r="JBD4" s="5"/>
      <c r="JBE4" s="5"/>
      <c r="JBF4" s="5"/>
      <c r="JBG4" s="5"/>
      <c r="JBH4" s="5"/>
      <c r="JBI4" s="5"/>
      <c r="JBJ4" s="5"/>
      <c r="JBK4" s="5"/>
      <c r="JBL4" s="5"/>
      <c r="JBM4" s="5"/>
      <c r="JBN4" s="5"/>
      <c r="JBO4" s="5"/>
      <c r="JBP4" s="5"/>
      <c r="JBQ4" s="5"/>
      <c r="JBR4" s="5"/>
      <c r="JBS4" s="5"/>
      <c r="JBT4" s="5"/>
      <c r="JBU4" s="5"/>
      <c r="JBV4" s="5"/>
      <c r="JBW4" s="5"/>
      <c r="JBX4" s="5"/>
      <c r="JBY4" s="5"/>
      <c r="JBZ4" s="5"/>
      <c r="JCA4" s="5"/>
      <c r="JCB4" s="5"/>
      <c r="JCC4" s="5"/>
      <c r="JCD4" s="5"/>
      <c r="JCE4" s="5"/>
      <c r="JCF4" s="5"/>
      <c r="JCG4" s="5"/>
      <c r="JCH4" s="5"/>
      <c r="JCI4" s="5"/>
      <c r="JCJ4" s="5"/>
      <c r="JCK4" s="5"/>
      <c r="JCL4" s="5"/>
      <c r="JCM4" s="5"/>
      <c r="JCN4" s="5"/>
      <c r="JCO4" s="5"/>
      <c r="JCP4" s="5"/>
      <c r="JCQ4" s="5"/>
      <c r="JCR4" s="5"/>
      <c r="JCS4" s="5"/>
      <c r="JCT4" s="5"/>
      <c r="JCU4" s="5"/>
      <c r="JCV4" s="5"/>
      <c r="JCW4" s="5"/>
      <c r="JCX4" s="5"/>
      <c r="JCY4" s="5"/>
      <c r="JCZ4" s="5"/>
      <c r="JDA4" s="5"/>
      <c r="JDB4" s="5"/>
      <c r="JDC4" s="5"/>
      <c r="JDD4" s="5"/>
      <c r="JDE4" s="5"/>
      <c r="JDF4" s="5"/>
      <c r="JDG4" s="5"/>
      <c r="JDH4" s="5"/>
      <c r="JDI4" s="5"/>
      <c r="JDJ4" s="5"/>
      <c r="JDK4" s="5"/>
      <c r="JDL4" s="5"/>
      <c r="JDM4" s="5"/>
      <c r="JDN4" s="5"/>
      <c r="JDO4" s="5"/>
      <c r="JDP4" s="5"/>
      <c r="JDQ4" s="5"/>
      <c r="JDR4" s="5"/>
      <c r="JDS4" s="5"/>
      <c r="JDT4" s="5"/>
      <c r="JDU4" s="5"/>
      <c r="JDV4" s="5"/>
      <c r="JDW4" s="5"/>
      <c r="JDX4" s="5"/>
      <c r="JDY4" s="5"/>
      <c r="JDZ4" s="5"/>
      <c r="JEA4" s="5"/>
      <c r="JEB4" s="5"/>
      <c r="JEC4" s="5"/>
      <c r="JED4" s="5"/>
      <c r="JEE4" s="5"/>
      <c r="JEF4" s="5"/>
      <c r="JEG4" s="5"/>
      <c r="JEH4" s="5"/>
      <c r="JEI4" s="5"/>
      <c r="JEJ4" s="5"/>
      <c r="JEK4" s="5"/>
      <c r="JEL4" s="5"/>
      <c r="JEM4" s="5"/>
      <c r="JEN4" s="5"/>
      <c r="JEO4" s="5"/>
      <c r="JEP4" s="5"/>
      <c r="JEQ4" s="5"/>
      <c r="JER4" s="5"/>
      <c r="JES4" s="5"/>
      <c r="JET4" s="5"/>
      <c r="JEU4" s="5"/>
      <c r="JEV4" s="5"/>
      <c r="JEW4" s="5"/>
      <c r="JEX4" s="5"/>
      <c r="JEY4" s="5"/>
      <c r="JEZ4" s="5"/>
      <c r="JFA4" s="5"/>
      <c r="JFB4" s="5"/>
      <c r="JFC4" s="5"/>
      <c r="JFD4" s="5"/>
      <c r="JFE4" s="5"/>
      <c r="JFF4" s="5"/>
      <c r="JFG4" s="5"/>
      <c r="JFH4" s="5"/>
      <c r="JFI4" s="5"/>
      <c r="JFJ4" s="5"/>
      <c r="JFK4" s="5"/>
      <c r="JFL4" s="5"/>
      <c r="JFM4" s="5"/>
      <c r="JFN4" s="5"/>
      <c r="JFO4" s="5"/>
      <c r="JFP4" s="5"/>
      <c r="JFQ4" s="5"/>
      <c r="JFR4" s="5"/>
      <c r="JFS4" s="5"/>
      <c r="JFT4" s="5"/>
      <c r="JFU4" s="5"/>
      <c r="JFV4" s="5"/>
      <c r="JFW4" s="5"/>
      <c r="JFX4" s="5"/>
      <c r="JFY4" s="5"/>
      <c r="JFZ4" s="5"/>
      <c r="JGA4" s="5"/>
      <c r="JGB4" s="5"/>
      <c r="JGC4" s="5"/>
      <c r="JGD4" s="5"/>
      <c r="JGE4" s="5"/>
      <c r="JGF4" s="5"/>
      <c r="JGG4" s="5"/>
      <c r="JGH4" s="5"/>
      <c r="JGI4" s="5"/>
      <c r="JGJ4" s="5"/>
      <c r="JGK4" s="5"/>
      <c r="JGL4" s="5"/>
      <c r="JGM4" s="5"/>
      <c r="JGN4" s="5"/>
      <c r="JGO4" s="5"/>
      <c r="JGP4" s="5"/>
      <c r="JGQ4" s="5"/>
      <c r="JGR4" s="5"/>
      <c r="JGS4" s="5"/>
      <c r="JGT4" s="5"/>
      <c r="JGU4" s="5"/>
      <c r="JGV4" s="5"/>
      <c r="JGW4" s="5"/>
      <c r="JGX4" s="5"/>
      <c r="JGY4" s="5"/>
      <c r="JGZ4" s="5"/>
      <c r="JHA4" s="5"/>
      <c r="JHB4" s="5"/>
      <c r="JHC4" s="5"/>
      <c r="JHD4" s="5"/>
      <c r="JHE4" s="5"/>
      <c r="JHF4" s="5"/>
      <c r="JHG4" s="5"/>
      <c r="JHH4" s="5"/>
      <c r="JHI4" s="5"/>
      <c r="JHJ4" s="5"/>
      <c r="JHK4" s="5"/>
      <c r="JHL4" s="5"/>
      <c r="JHM4" s="5"/>
      <c r="JHN4" s="5"/>
      <c r="JHO4" s="5"/>
      <c r="JHP4" s="5"/>
      <c r="JHQ4" s="5"/>
      <c r="JHR4" s="5"/>
      <c r="JHS4" s="5"/>
      <c r="JHT4" s="5"/>
      <c r="JHU4" s="5"/>
      <c r="JHV4" s="5"/>
      <c r="JHW4" s="5"/>
      <c r="JHX4" s="5"/>
      <c r="JHY4" s="5"/>
      <c r="JHZ4" s="5"/>
      <c r="JIA4" s="5"/>
      <c r="JIB4" s="5"/>
      <c r="JIC4" s="5"/>
      <c r="JID4" s="5"/>
      <c r="JIE4" s="5"/>
      <c r="JIF4" s="5"/>
      <c r="JIG4" s="5"/>
      <c r="JIH4" s="5"/>
      <c r="JII4" s="5"/>
      <c r="JIJ4" s="5"/>
      <c r="JIK4" s="5"/>
      <c r="JIL4" s="5"/>
      <c r="JIM4" s="5"/>
      <c r="JIN4" s="5"/>
      <c r="JIO4" s="5"/>
      <c r="JIP4" s="5"/>
      <c r="JIQ4" s="5"/>
      <c r="JIR4" s="5"/>
      <c r="JIS4" s="5"/>
      <c r="JIT4" s="5"/>
      <c r="JIU4" s="5"/>
      <c r="JIV4" s="5"/>
      <c r="JIW4" s="5"/>
      <c r="JIX4" s="5"/>
      <c r="JIY4" s="5"/>
      <c r="JIZ4" s="5"/>
      <c r="JJA4" s="5"/>
      <c r="JJB4" s="5"/>
      <c r="JJC4" s="5"/>
      <c r="JJD4" s="5"/>
      <c r="JJE4" s="5"/>
      <c r="JJF4" s="5"/>
      <c r="JJG4" s="5"/>
      <c r="JJH4" s="5"/>
      <c r="JJI4" s="5"/>
      <c r="JJJ4" s="5"/>
      <c r="JJK4" s="5"/>
      <c r="JJL4" s="5"/>
      <c r="JJM4" s="5"/>
      <c r="JJN4" s="5"/>
      <c r="JJO4" s="5"/>
      <c r="JJP4" s="5"/>
      <c r="JJQ4" s="5"/>
      <c r="JJR4" s="5"/>
      <c r="JJS4" s="5"/>
      <c r="JJT4" s="5"/>
      <c r="JJU4" s="5"/>
      <c r="JJV4" s="5"/>
      <c r="JJW4" s="5"/>
      <c r="JJX4" s="5"/>
      <c r="JJY4" s="5"/>
      <c r="JJZ4" s="5"/>
      <c r="JKA4" s="5"/>
      <c r="JKB4" s="5"/>
      <c r="JKC4" s="5"/>
      <c r="JKD4" s="5"/>
      <c r="JKE4" s="5"/>
      <c r="JKF4" s="5"/>
      <c r="JKG4" s="5"/>
      <c r="JKH4" s="5"/>
      <c r="JKI4" s="5"/>
      <c r="JKJ4" s="5"/>
      <c r="JKK4" s="5"/>
      <c r="JKL4" s="5"/>
      <c r="JKM4" s="5"/>
      <c r="JKN4" s="5"/>
      <c r="JKO4" s="5"/>
      <c r="JKP4" s="5"/>
      <c r="JKQ4" s="5"/>
      <c r="JKR4" s="5"/>
      <c r="JKS4" s="5"/>
      <c r="JKT4" s="5"/>
      <c r="JKU4" s="5"/>
      <c r="JKV4" s="5"/>
      <c r="JKW4" s="5"/>
      <c r="JKX4" s="5"/>
      <c r="JKY4" s="5"/>
      <c r="JKZ4" s="5"/>
      <c r="JLA4" s="5"/>
      <c r="JLB4" s="5"/>
      <c r="JLC4" s="5"/>
      <c r="JLD4" s="5"/>
      <c r="JLE4" s="5"/>
      <c r="JLF4" s="5"/>
      <c r="JLG4" s="5"/>
      <c r="JLH4" s="5"/>
      <c r="JLI4" s="5"/>
      <c r="JLJ4" s="5"/>
      <c r="JLK4" s="5"/>
      <c r="JLL4" s="5"/>
      <c r="JLM4" s="5"/>
      <c r="JLN4" s="5"/>
      <c r="JLO4" s="5"/>
      <c r="JLP4" s="5"/>
      <c r="JLQ4" s="5"/>
      <c r="JLR4" s="5"/>
      <c r="JLS4" s="5"/>
      <c r="JLT4" s="5"/>
      <c r="JLU4" s="5"/>
      <c r="JLV4" s="5"/>
      <c r="JLW4" s="5"/>
      <c r="JLX4" s="5"/>
      <c r="JLY4" s="5"/>
      <c r="JLZ4" s="5"/>
      <c r="JMA4" s="5"/>
      <c r="JMB4" s="5"/>
      <c r="JMC4" s="5"/>
      <c r="JMD4" s="5"/>
      <c r="JME4" s="5"/>
      <c r="JMF4" s="5"/>
      <c r="JMG4" s="5"/>
      <c r="JMH4" s="5"/>
      <c r="JMI4" s="5"/>
      <c r="JMJ4" s="5"/>
      <c r="JMK4" s="5"/>
      <c r="JML4" s="5"/>
      <c r="JMM4" s="5"/>
      <c r="JMN4" s="5"/>
      <c r="JMO4" s="5"/>
      <c r="JMP4" s="5"/>
      <c r="JMQ4" s="5"/>
      <c r="JMR4" s="5"/>
      <c r="JMS4" s="5"/>
      <c r="JMT4" s="5"/>
      <c r="JMU4" s="5"/>
      <c r="JMV4" s="5"/>
      <c r="JMW4" s="5"/>
      <c r="JMX4" s="5"/>
      <c r="JMY4" s="5"/>
      <c r="JMZ4" s="5"/>
      <c r="JNA4" s="5"/>
      <c r="JNB4" s="5"/>
      <c r="JNC4" s="5"/>
      <c r="JND4" s="5"/>
      <c r="JNE4" s="5"/>
      <c r="JNF4" s="5"/>
      <c r="JNG4" s="5"/>
      <c r="JNH4" s="5"/>
      <c r="JNI4" s="5"/>
      <c r="JNJ4" s="5"/>
      <c r="JNK4" s="5"/>
      <c r="JNL4" s="5"/>
      <c r="JNM4" s="5"/>
      <c r="JNN4" s="5"/>
      <c r="JNO4" s="5"/>
      <c r="JNP4" s="5"/>
      <c r="JNQ4" s="5"/>
      <c r="JNR4" s="5"/>
      <c r="JNS4" s="5"/>
      <c r="JNT4" s="5"/>
      <c r="JNU4" s="5"/>
      <c r="JNV4" s="5"/>
      <c r="JNW4" s="5"/>
      <c r="JNX4" s="5"/>
      <c r="JNY4" s="5"/>
      <c r="JNZ4" s="5"/>
      <c r="JOA4" s="5"/>
      <c r="JOB4" s="5"/>
      <c r="JOC4" s="5"/>
      <c r="JOD4" s="5"/>
      <c r="JOE4" s="5"/>
      <c r="JOF4" s="5"/>
      <c r="JOG4" s="5"/>
      <c r="JOH4" s="5"/>
      <c r="JOI4" s="5"/>
      <c r="JOJ4" s="5"/>
      <c r="JOK4" s="5"/>
      <c r="JOL4" s="5"/>
      <c r="JOM4" s="5"/>
      <c r="JON4" s="5"/>
      <c r="JOO4" s="5"/>
      <c r="JOP4" s="5"/>
      <c r="JOQ4" s="5"/>
      <c r="JOR4" s="5"/>
      <c r="JOS4" s="5"/>
      <c r="JOT4" s="5"/>
      <c r="JOU4" s="5"/>
      <c r="JOV4" s="5"/>
      <c r="JOW4" s="5"/>
      <c r="JOX4" s="5"/>
      <c r="JOY4" s="5"/>
      <c r="JOZ4" s="5"/>
      <c r="JPA4" s="5"/>
      <c r="JPB4" s="5"/>
      <c r="JPC4" s="5"/>
      <c r="JPD4" s="5"/>
      <c r="JPE4" s="5"/>
      <c r="JPF4" s="5"/>
      <c r="JPG4" s="5"/>
      <c r="JPH4" s="5"/>
      <c r="JPI4" s="5"/>
      <c r="JPJ4" s="5"/>
      <c r="JPK4" s="5"/>
      <c r="JPL4" s="5"/>
      <c r="JPM4" s="5"/>
      <c r="JPN4" s="5"/>
      <c r="JPO4" s="5"/>
      <c r="JPP4" s="5"/>
      <c r="JPQ4" s="5"/>
      <c r="JPR4" s="5"/>
      <c r="JPS4" s="5"/>
      <c r="JPT4" s="5"/>
      <c r="JPU4" s="5"/>
      <c r="JPV4" s="5"/>
      <c r="JPW4" s="5"/>
      <c r="JPX4" s="5"/>
      <c r="JPY4" s="5"/>
      <c r="JPZ4" s="5"/>
      <c r="JQA4" s="5"/>
      <c r="JQB4" s="5"/>
      <c r="JQC4" s="5"/>
      <c r="JQD4" s="5"/>
      <c r="JQE4" s="5"/>
      <c r="JQF4" s="5"/>
      <c r="JQG4" s="5"/>
      <c r="JQH4" s="5"/>
      <c r="JQI4" s="5"/>
      <c r="JQJ4" s="5"/>
      <c r="JQK4" s="5"/>
      <c r="JQL4" s="5"/>
      <c r="JQM4" s="5"/>
      <c r="JQN4" s="5"/>
      <c r="JQO4" s="5"/>
      <c r="JQP4" s="5"/>
      <c r="JQQ4" s="5"/>
      <c r="JQR4" s="5"/>
      <c r="JQS4" s="5"/>
      <c r="JQT4" s="5"/>
      <c r="JQU4" s="5"/>
      <c r="JQV4" s="5"/>
      <c r="JQW4" s="5"/>
      <c r="JQX4" s="5"/>
      <c r="JQY4" s="5"/>
      <c r="JQZ4" s="5"/>
      <c r="JRA4" s="5"/>
      <c r="JRB4" s="5"/>
      <c r="JRC4" s="5"/>
      <c r="JRD4" s="5"/>
      <c r="JRE4" s="5"/>
      <c r="JRF4" s="5"/>
      <c r="JRG4" s="5"/>
      <c r="JRH4" s="5"/>
      <c r="JRI4" s="5"/>
      <c r="JRJ4" s="5"/>
      <c r="JRK4" s="5"/>
      <c r="JRL4" s="5"/>
      <c r="JRM4" s="5"/>
      <c r="JRN4" s="5"/>
      <c r="JRO4" s="5"/>
      <c r="JRP4" s="5"/>
      <c r="JRQ4" s="5"/>
      <c r="JRR4" s="5"/>
      <c r="JRS4" s="5"/>
      <c r="JRT4" s="5"/>
      <c r="JRU4" s="5"/>
      <c r="JRV4" s="5"/>
      <c r="JRW4" s="5"/>
      <c r="JRX4" s="5"/>
      <c r="JRY4" s="5"/>
      <c r="JRZ4" s="5"/>
      <c r="JSA4" s="5"/>
      <c r="JSB4" s="5"/>
      <c r="JSC4" s="5"/>
      <c r="JSD4" s="5"/>
      <c r="JSE4" s="5"/>
      <c r="JSF4" s="5"/>
      <c r="JSG4" s="5"/>
      <c r="JSH4" s="5"/>
      <c r="JSI4" s="5"/>
      <c r="JSJ4" s="5"/>
      <c r="JSK4" s="5"/>
      <c r="JSL4" s="5"/>
      <c r="JSM4" s="5"/>
      <c r="JSN4" s="5"/>
      <c r="JSO4" s="5"/>
      <c r="JSP4" s="5"/>
      <c r="JSQ4" s="5"/>
      <c r="JSR4" s="5"/>
      <c r="JSS4" s="5"/>
      <c r="JST4" s="5"/>
      <c r="JSU4" s="5"/>
      <c r="JSV4" s="5"/>
      <c r="JSW4" s="5"/>
      <c r="JSX4" s="5"/>
      <c r="JSY4" s="5"/>
      <c r="JSZ4" s="5"/>
      <c r="JTA4" s="5"/>
      <c r="JTB4" s="5"/>
      <c r="JTC4" s="5"/>
      <c r="JTD4" s="5"/>
      <c r="JTE4" s="5"/>
      <c r="JTF4" s="5"/>
      <c r="JTG4" s="5"/>
      <c r="JTH4" s="5"/>
      <c r="JTI4" s="5"/>
      <c r="JTJ4" s="5"/>
      <c r="JTK4" s="5"/>
      <c r="JTL4" s="5"/>
      <c r="JTM4" s="5"/>
      <c r="JTN4" s="5"/>
      <c r="JTO4" s="5"/>
      <c r="JTP4" s="5"/>
      <c r="JTQ4" s="5"/>
      <c r="JTR4" s="5"/>
      <c r="JTS4" s="5"/>
      <c r="JTT4" s="5"/>
      <c r="JTU4" s="5"/>
      <c r="JTV4" s="5"/>
      <c r="JTW4" s="5"/>
      <c r="JTX4" s="5"/>
      <c r="JTY4" s="5"/>
      <c r="JTZ4" s="5"/>
      <c r="JUA4" s="5"/>
      <c r="JUB4" s="5"/>
      <c r="JUC4" s="5"/>
      <c r="JUD4" s="5"/>
      <c r="JUE4" s="5"/>
      <c r="JUF4" s="5"/>
      <c r="JUG4" s="5"/>
      <c r="JUH4" s="5"/>
      <c r="JUI4" s="5"/>
      <c r="JUJ4" s="5"/>
      <c r="JUK4" s="5"/>
      <c r="JUL4" s="5"/>
      <c r="JUM4" s="5"/>
      <c r="JUN4" s="5"/>
      <c r="JUO4" s="5"/>
      <c r="JUP4" s="5"/>
      <c r="JUQ4" s="5"/>
      <c r="JUR4" s="5"/>
      <c r="JUS4" s="5"/>
      <c r="JUT4" s="5"/>
      <c r="JUU4" s="5"/>
      <c r="JUV4" s="5"/>
      <c r="JUW4" s="5"/>
      <c r="JUX4" s="5"/>
      <c r="JUY4" s="5"/>
      <c r="JUZ4" s="5"/>
      <c r="JVA4" s="5"/>
      <c r="JVB4" s="5"/>
      <c r="JVC4" s="5"/>
      <c r="JVD4" s="5"/>
      <c r="JVE4" s="5"/>
      <c r="JVF4" s="5"/>
      <c r="JVG4" s="5"/>
      <c r="JVH4" s="5"/>
      <c r="JVI4" s="5"/>
      <c r="JVJ4" s="5"/>
      <c r="JVK4" s="5"/>
      <c r="JVL4" s="5"/>
      <c r="JVM4" s="5"/>
      <c r="JVN4" s="5"/>
      <c r="JVO4" s="5"/>
      <c r="JVP4" s="5"/>
      <c r="JVQ4" s="5"/>
      <c r="JVR4" s="5"/>
      <c r="JVS4" s="5"/>
      <c r="JVT4" s="5"/>
      <c r="JVU4" s="5"/>
      <c r="JVV4" s="5"/>
      <c r="JVW4" s="5"/>
      <c r="JVX4" s="5"/>
      <c r="JVY4" s="5"/>
      <c r="JVZ4" s="5"/>
      <c r="JWA4" s="5"/>
      <c r="JWB4" s="5"/>
      <c r="JWC4" s="5"/>
      <c r="JWD4" s="5"/>
      <c r="JWE4" s="5"/>
      <c r="JWF4" s="5"/>
      <c r="JWG4" s="5"/>
      <c r="JWH4" s="5"/>
      <c r="JWI4" s="5"/>
      <c r="JWJ4" s="5"/>
      <c r="JWK4" s="5"/>
      <c r="JWL4" s="5"/>
      <c r="JWM4" s="5"/>
      <c r="JWN4" s="5"/>
      <c r="JWO4" s="5"/>
      <c r="JWP4" s="5"/>
      <c r="JWQ4" s="5"/>
      <c r="JWR4" s="5"/>
      <c r="JWS4" s="5"/>
      <c r="JWT4" s="5"/>
      <c r="JWU4" s="5"/>
      <c r="JWV4" s="5"/>
      <c r="JWW4" s="5"/>
      <c r="JWX4" s="5"/>
      <c r="JWY4" s="5"/>
      <c r="JWZ4" s="5"/>
      <c r="JXA4" s="5"/>
      <c r="JXB4" s="5"/>
      <c r="JXC4" s="5"/>
      <c r="JXD4" s="5"/>
      <c r="JXE4" s="5"/>
      <c r="JXF4" s="5"/>
      <c r="JXG4" s="5"/>
      <c r="JXH4" s="5"/>
      <c r="JXI4" s="5"/>
      <c r="JXJ4" s="5"/>
      <c r="JXK4" s="5"/>
      <c r="JXL4" s="5"/>
      <c r="JXM4" s="5"/>
      <c r="JXN4" s="5"/>
      <c r="JXO4" s="5"/>
      <c r="JXP4" s="5"/>
      <c r="JXQ4" s="5"/>
      <c r="JXR4" s="5"/>
      <c r="JXS4" s="5"/>
      <c r="JXT4" s="5"/>
      <c r="JXU4" s="5"/>
      <c r="JXV4" s="5"/>
      <c r="JXW4" s="5"/>
      <c r="JXX4" s="5"/>
      <c r="JXY4" s="5"/>
      <c r="JXZ4" s="5"/>
      <c r="JYA4" s="5"/>
      <c r="JYB4" s="5"/>
      <c r="JYC4" s="5"/>
      <c r="JYD4" s="5"/>
      <c r="JYE4" s="5"/>
      <c r="JYF4" s="5"/>
      <c r="JYG4" s="5"/>
      <c r="JYH4" s="5"/>
      <c r="JYI4" s="5"/>
      <c r="JYJ4" s="5"/>
      <c r="JYK4" s="5"/>
      <c r="JYL4" s="5"/>
      <c r="JYM4" s="5"/>
      <c r="JYN4" s="5"/>
      <c r="JYO4" s="5"/>
      <c r="JYP4" s="5"/>
      <c r="JYQ4" s="5"/>
      <c r="JYR4" s="5"/>
      <c r="JYS4" s="5"/>
      <c r="JYT4" s="5"/>
      <c r="JYU4" s="5"/>
      <c r="JYV4" s="5"/>
      <c r="JYW4" s="5"/>
      <c r="JYX4" s="5"/>
      <c r="JYY4" s="5"/>
      <c r="JYZ4" s="5"/>
      <c r="JZA4" s="5"/>
      <c r="JZB4" s="5"/>
      <c r="JZC4" s="5"/>
      <c r="JZD4" s="5"/>
      <c r="JZE4" s="5"/>
      <c r="JZF4" s="5"/>
      <c r="JZG4" s="5"/>
      <c r="JZH4" s="5"/>
      <c r="JZI4" s="5"/>
      <c r="JZJ4" s="5"/>
      <c r="JZK4" s="5"/>
      <c r="JZL4" s="5"/>
      <c r="JZM4" s="5"/>
      <c r="JZN4" s="5"/>
      <c r="JZO4" s="5"/>
      <c r="JZP4" s="5"/>
      <c r="JZQ4" s="5"/>
      <c r="JZR4" s="5"/>
      <c r="JZS4" s="5"/>
      <c r="JZT4" s="5"/>
      <c r="JZU4" s="5"/>
      <c r="JZV4" s="5"/>
      <c r="JZW4" s="5"/>
      <c r="JZX4" s="5"/>
      <c r="JZY4" s="5"/>
      <c r="JZZ4" s="5"/>
      <c r="KAA4" s="5"/>
      <c r="KAB4" s="5"/>
      <c r="KAC4" s="5"/>
      <c r="KAD4" s="5"/>
      <c r="KAE4" s="5"/>
      <c r="KAF4" s="5"/>
      <c r="KAG4" s="5"/>
      <c r="KAH4" s="5"/>
      <c r="KAI4" s="5"/>
      <c r="KAJ4" s="5"/>
      <c r="KAK4" s="5"/>
      <c r="KAL4" s="5"/>
      <c r="KAM4" s="5"/>
      <c r="KAN4" s="5"/>
      <c r="KAO4" s="5"/>
      <c r="KAP4" s="5"/>
      <c r="KAQ4" s="5"/>
      <c r="KAR4" s="5"/>
      <c r="KAS4" s="5"/>
      <c r="KAT4" s="5"/>
      <c r="KAU4" s="5"/>
      <c r="KAV4" s="5"/>
      <c r="KAW4" s="5"/>
      <c r="KAX4" s="5"/>
      <c r="KAY4" s="5"/>
      <c r="KAZ4" s="5"/>
      <c r="KBA4" s="5"/>
      <c r="KBB4" s="5"/>
      <c r="KBC4" s="5"/>
      <c r="KBD4" s="5"/>
      <c r="KBE4" s="5"/>
      <c r="KBF4" s="5"/>
      <c r="KBG4" s="5"/>
      <c r="KBH4" s="5"/>
      <c r="KBI4" s="5"/>
      <c r="KBJ4" s="5"/>
      <c r="KBK4" s="5"/>
      <c r="KBL4" s="5"/>
      <c r="KBM4" s="5"/>
      <c r="KBN4" s="5"/>
      <c r="KBO4" s="5"/>
      <c r="KBP4" s="5"/>
      <c r="KBQ4" s="5"/>
      <c r="KBR4" s="5"/>
      <c r="KBS4" s="5"/>
      <c r="KBT4" s="5"/>
      <c r="KBU4" s="5"/>
      <c r="KBV4" s="5"/>
      <c r="KBW4" s="5"/>
      <c r="KBX4" s="5"/>
      <c r="KBY4" s="5"/>
      <c r="KBZ4" s="5"/>
      <c r="KCA4" s="5"/>
      <c r="KCB4" s="5"/>
      <c r="KCC4" s="5"/>
      <c r="KCD4" s="5"/>
      <c r="KCE4" s="5"/>
      <c r="KCF4" s="5"/>
      <c r="KCG4" s="5"/>
      <c r="KCH4" s="5"/>
      <c r="KCI4" s="5"/>
      <c r="KCJ4" s="5"/>
      <c r="KCK4" s="5"/>
      <c r="KCL4" s="5"/>
      <c r="KCM4" s="5"/>
      <c r="KCN4" s="5"/>
      <c r="KCO4" s="5"/>
      <c r="KCP4" s="5"/>
      <c r="KCQ4" s="5"/>
      <c r="KCR4" s="5"/>
      <c r="KCS4" s="5"/>
      <c r="KCT4" s="5"/>
      <c r="KCU4" s="5"/>
      <c r="KCV4" s="5"/>
      <c r="KCW4" s="5"/>
      <c r="KCX4" s="5"/>
      <c r="KCY4" s="5"/>
      <c r="KCZ4" s="5"/>
      <c r="KDA4" s="5"/>
      <c r="KDB4" s="5"/>
      <c r="KDC4" s="5"/>
      <c r="KDD4" s="5"/>
      <c r="KDE4" s="5"/>
      <c r="KDF4" s="5"/>
      <c r="KDG4" s="5"/>
      <c r="KDH4" s="5"/>
      <c r="KDI4" s="5"/>
      <c r="KDJ4" s="5"/>
      <c r="KDK4" s="5"/>
      <c r="KDL4" s="5"/>
      <c r="KDM4" s="5"/>
      <c r="KDN4" s="5"/>
      <c r="KDO4" s="5"/>
      <c r="KDP4" s="5"/>
      <c r="KDQ4" s="5"/>
      <c r="KDR4" s="5"/>
      <c r="KDS4" s="5"/>
      <c r="KDT4" s="5"/>
      <c r="KDU4" s="5"/>
      <c r="KDV4" s="5"/>
      <c r="KDW4" s="5"/>
      <c r="KDX4" s="5"/>
      <c r="KDY4" s="5"/>
      <c r="KDZ4" s="5"/>
      <c r="KEA4" s="5"/>
      <c r="KEB4" s="5"/>
      <c r="KEC4" s="5"/>
      <c r="KED4" s="5"/>
      <c r="KEE4" s="5"/>
      <c r="KEF4" s="5"/>
      <c r="KEG4" s="5"/>
      <c r="KEH4" s="5"/>
      <c r="KEI4" s="5"/>
      <c r="KEJ4" s="5"/>
      <c r="KEK4" s="5"/>
      <c r="KEL4" s="5"/>
      <c r="KEM4" s="5"/>
      <c r="KEN4" s="5"/>
      <c r="KEO4" s="5"/>
      <c r="KEP4" s="5"/>
      <c r="KEQ4" s="5"/>
      <c r="KER4" s="5"/>
      <c r="KES4" s="5"/>
      <c r="KET4" s="5"/>
      <c r="KEU4" s="5"/>
      <c r="KEV4" s="5"/>
      <c r="KEW4" s="5"/>
      <c r="KEX4" s="5"/>
      <c r="KEY4" s="5"/>
      <c r="KEZ4" s="5"/>
      <c r="KFA4" s="5"/>
      <c r="KFB4" s="5"/>
      <c r="KFC4" s="5"/>
      <c r="KFD4" s="5"/>
      <c r="KFE4" s="5"/>
      <c r="KFF4" s="5"/>
      <c r="KFG4" s="5"/>
      <c r="KFH4" s="5"/>
      <c r="KFI4" s="5"/>
      <c r="KFJ4" s="5"/>
      <c r="KFK4" s="5"/>
      <c r="KFL4" s="5"/>
      <c r="KFM4" s="5"/>
      <c r="KFN4" s="5"/>
      <c r="KFO4" s="5"/>
      <c r="KFP4" s="5"/>
      <c r="KFQ4" s="5"/>
      <c r="KFR4" s="5"/>
      <c r="KFS4" s="5"/>
      <c r="KFT4" s="5"/>
      <c r="KFU4" s="5"/>
      <c r="KFV4" s="5"/>
      <c r="KFW4" s="5"/>
      <c r="KFX4" s="5"/>
      <c r="KFY4" s="5"/>
      <c r="KFZ4" s="5"/>
      <c r="KGA4" s="5"/>
      <c r="KGB4" s="5"/>
      <c r="KGC4" s="5"/>
      <c r="KGD4" s="5"/>
      <c r="KGE4" s="5"/>
      <c r="KGF4" s="5"/>
      <c r="KGG4" s="5"/>
      <c r="KGH4" s="5"/>
      <c r="KGI4" s="5"/>
      <c r="KGJ4" s="5"/>
      <c r="KGK4" s="5"/>
      <c r="KGL4" s="5"/>
      <c r="KGM4" s="5"/>
      <c r="KGN4" s="5"/>
      <c r="KGO4" s="5"/>
      <c r="KGP4" s="5"/>
      <c r="KGQ4" s="5"/>
      <c r="KGR4" s="5"/>
      <c r="KGS4" s="5"/>
      <c r="KGT4" s="5"/>
      <c r="KGU4" s="5"/>
      <c r="KGV4" s="5"/>
      <c r="KGW4" s="5"/>
      <c r="KGX4" s="5"/>
      <c r="KGY4" s="5"/>
      <c r="KGZ4" s="5"/>
      <c r="KHA4" s="5"/>
      <c r="KHB4" s="5"/>
      <c r="KHC4" s="5"/>
      <c r="KHD4" s="5"/>
      <c r="KHE4" s="5"/>
      <c r="KHF4" s="5"/>
      <c r="KHG4" s="5"/>
      <c r="KHH4" s="5"/>
      <c r="KHI4" s="5"/>
      <c r="KHJ4" s="5"/>
      <c r="KHK4" s="5"/>
      <c r="KHL4" s="5"/>
      <c r="KHM4" s="5"/>
      <c r="KHN4" s="5"/>
      <c r="KHO4" s="5"/>
      <c r="KHP4" s="5"/>
      <c r="KHQ4" s="5"/>
      <c r="KHR4" s="5"/>
      <c r="KHS4" s="5"/>
      <c r="KHT4" s="5"/>
      <c r="KHU4" s="5"/>
      <c r="KHV4" s="5"/>
      <c r="KHW4" s="5"/>
      <c r="KHX4" s="5"/>
      <c r="KHY4" s="5"/>
      <c r="KHZ4" s="5"/>
      <c r="KIA4" s="5"/>
      <c r="KIB4" s="5"/>
      <c r="KIC4" s="5"/>
      <c r="KID4" s="5"/>
      <c r="KIE4" s="5"/>
      <c r="KIF4" s="5"/>
      <c r="KIG4" s="5"/>
      <c r="KIH4" s="5"/>
      <c r="KII4" s="5"/>
      <c r="KIJ4" s="5"/>
      <c r="KIK4" s="5"/>
      <c r="KIL4" s="5"/>
      <c r="KIM4" s="5"/>
      <c r="KIN4" s="5"/>
      <c r="KIO4" s="5"/>
      <c r="KIP4" s="5"/>
      <c r="KIQ4" s="5"/>
      <c r="KIR4" s="5"/>
      <c r="KIS4" s="5"/>
      <c r="KIT4" s="5"/>
      <c r="KIU4" s="5"/>
      <c r="KIV4" s="5"/>
      <c r="KIW4" s="5"/>
      <c r="KIX4" s="5"/>
      <c r="KIY4" s="5"/>
      <c r="KIZ4" s="5"/>
      <c r="KJA4" s="5"/>
      <c r="KJB4" s="5"/>
      <c r="KJC4" s="5"/>
      <c r="KJD4" s="5"/>
      <c r="KJE4" s="5"/>
      <c r="KJF4" s="5"/>
      <c r="KJG4" s="5"/>
      <c r="KJH4" s="5"/>
      <c r="KJI4" s="5"/>
      <c r="KJJ4" s="5"/>
      <c r="KJK4" s="5"/>
      <c r="KJL4" s="5"/>
      <c r="KJM4" s="5"/>
      <c r="KJN4" s="5"/>
      <c r="KJO4" s="5"/>
      <c r="KJP4" s="5"/>
      <c r="KJQ4" s="5"/>
      <c r="KJR4" s="5"/>
      <c r="KJS4" s="5"/>
      <c r="KJT4" s="5"/>
      <c r="KJU4" s="5"/>
      <c r="KJV4" s="5"/>
      <c r="KJW4" s="5"/>
      <c r="KJX4" s="5"/>
      <c r="KJY4" s="5"/>
      <c r="KJZ4" s="5"/>
      <c r="KKA4" s="5"/>
      <c r="KKB4" s="5"/>
      <c r="KKC4" s="5"/>
      <c r="KKD4" s="5"/>
      <c r="KKE4" s="5"/>
      <c r="KKF4" s="5"/>
      <c r="KKG4" s="5"/>
      <c r="KKH4" s="5"/>
      <c r="KKI4" s="5"/>
      <c r="KKJ4" s="5"/>
      <c r="KKK4" s="5"/>
      <c r="KKL4" s="5"/>
      <c r="KKM4" s="5"/>
      <c r="KKN4" s="5"/>
      <c r="KKO4" s="5"/>
      <c r="KKP4" s="5"/>
      <c r="KKQ4" s="5"/>
      <c r="KKR4" s="5"/>
      <c r="KKS4" s="5"/>
      <c r="KKT4" s="5"/>
      <c r="KKU4" s="5"/>
      <c r="KKV4" s="5"/>
      <c r="KKW4" s="5"/>
      <c r="KKX4" s="5"/>
      <c r="KKY4" s="5"/>
      <c r="KKZ4" s="5"/>
      <c r="KLA4" s="5"/>
      <c r="KLB4" s="5"/>
      <c r="KLC4" s="5"/>
      <c r="KLD4" s="5"/>
      <c r="KLE4" s="5"/>
      <c r="KLF4" s="5"/>
      <c r="KLG4" s="5"/>
      <c r="KLH4" s="5"/>
      <c r="KLI4" s="5"/>
      <c r="KLJ4" s="5"/>
      <c r="KLK4" s="5"/>
      <c r="KLL4" s="5"/>
      <c r="KLM4" s="5"/>
      <c r="KLN4" s="5"/>
      <c r="KLO4" s="5"/>
      <c r="KLP4" s="5"/>
      <c r="KLQ4" s="5"/>
      <c r="KLR4" s="5"/>
      <c r="KLS4" s="5"/>
      <c r="KLT4" s="5"/>
      <c r="KLU4" s="5"/>
      <c r="KLV4" s="5"/>
      <c r="KLW4" s="5"/>
      <c r="KLX4" s="5"/>
      <c r="KLY4" s="5"/>
      <c r="KLZ4" s="5"/>
      <c r="KMA4" s="5"/>
      <c r="KMB4" s="5"/>
      <c r="KMC4" s="5"/>
      <c r="KMD4" s="5"/>
      <c r="KME4" s="5"/>
      <c r="KMF4" s="5"/>
      <c r="KMG4" s="5"/>
      <c r="KMH4" s="5"/>
      <c r="KMI4" s="5"/>
      <c r="KMJ4" s="5"/>
      <c r="KMK4" s="5"/>
      <c r="KML4" s="5"/>
      <c r="KMM4" s="5"/>
      <c r="KMN4" s="5"/>
      <c r="KMO4" s="5"/>
      <c r="KMP4" s="5"/>
      <c r="KMQ4" s="5"/>
      <c r="KMR4" s="5"/>
      <c r="KMS4" s="5"/>
      <c r="KMT4" s="5"/>
      <c r="KMU4" s="5"/>
      <c r="KMV4" s="5"/>
      <c r="KMW4" s="5"/>
      <c r="KMX4" s="5"/>
      <c r="KMY4" s="5"/>
      <c r="KMZ4" s="5"/>
      <c r="KNA4" s="5"/>
      <c r="KNB4" s="5"/>
      <c r="KNC4" s="5"/>
      <c r="KND4" s="5"/>
      <c r="KNE4" s="5"/>
      <c r="KNF4" s="5"/>
      <c r="KNG4" s="5"/>
      <c r="KNH4" s="5"/>
      <c r="KNI4" s="5"/>
      <c r="KNJ4" s="5"/>
      <c r="KNK4" s="5"/>
      <c r="KNL4" s="5"/>
      <c r="KNM4" s="5"/>
      <c r="KNN4" s="5"/>
      <c r="KNO4" s="5"/>
      <c r="KNP4" s="5"/>
      <c r="KNQ4" s="5"/>
      <c r="KNR4" s="5"/>
      <c r="KNS4" s="5"/>
      <c r="KNT4" s="5"/>
      <c r="KNU4" s="5"/>
      <c r="KNV4" s="5"/>
      <c r="KNW4" s="5"/>
      <c r="KNX4" s="5"/>
      <c r="KNY4" s="5"/>
      <c r="KNZ4" s="5"/>
      <c r="KOA4" s="5"/>
      <c r="KOB4" s="5"/>
      <c r="KOC4" s="5"/>
      <c r="KOD4" s="5"/>
      <c r="KOE4" s="5"/>
      <c r="KOF4" s="5"/>
      <c r="KOG4" s="5"/>
      <c r="KOH4" s="5"/>
      <c r="KOI4" s="5"/>
      <c r="KOJ4" s="5"/>
      <c r="KOK4" s="5"/>
      <c r="KOL4" s="5"/>
      <c r="KOM4" s="5"/>
      <c r="KON4" s="5"/>
      <c r="KOO4" s="5"/>
      <c r="KOP4" s="5"/>
      <c r="KOQ4" s="5"/>
      <c r="KOR4" s="5"/>
      <c r="KOS4" s="5"/>
      <c r="KOT4" s="5"/>
      <c r="KOU4" s="5"/>
      <c r="KOV4" s="5"/>
      <c r="KOW4" s="5"/>
      <c r="KOX4" s="5"/>
      <c r="KOY4" s="5"/>
      <c r="KOZ4" s="5"/>
      <c r="KPA4" s="5"/>
      <c r="KPB4" s="5"/>
      <c r="KPC4" s="5"/>
      <c r="KPD4" s="5"/>
      <c r="KPE4" s="5"/>
      <c r="KPF4" s="5"/>
      <c r="KPG4" s="5"/>
      <c r="KPH4" s="5"/>
      <c r="KPI4" s="5"/>
      <c r="KPJ4" s="5"/>
      <c r="KPK4" s="5"/>
      <c r="KPL4" s="5"/>
      <c r="KPM4" s="5"/>
      <c r="KPN4" s="5"/>
      <c r="KPO4" s="5"/>
      <c r="KPP4" s="5"/>
      <c r="KPQ4" s="5"/>
      <c r="KPR4" s="5"/>
      <c r="KPS4" s="5"/>
      <c r="KPT4" s="5"/>
      <c r="KPU4" s="5"/>
      <c r="KPV4" s="5"/>
      <c r="KPW4" s="5"/>
      <c r="KPX4" s="5"/>
      <c r="KPY4" s="5"/>
      <c r="KPZ4" s="5"/>
      <c r="KQA4" s="5"/>
      <c r="KQB4" s="5"/>
      <c r="KQC4" s="5"/>
      <c r="KQD4" s="5"/>
      <c r="KQE4" s="5"/>
      <c r="KQF4" s="5"/>
      <c r="KQG4" s="5"/>
      <c r="KQH4" s="5"/>
      <c r="KQI4" s="5"/>
      <c r="KQJ4" s="5"/>
      <c r="KQK4" s="5"/>
      <c r="KQL4" s="5"/>
      <c r="KQM4" s="5"/>
      <c r="KQN4" s="5"/>
      <c r="KQO4" s="5"/>
      <c r="KQP4" s="5"/>
      <c r="KQQ4" s="5"/>
      <c r="KQR4" s="5"/>
      <c r="KQS4" s="5"/>
      <c r="KQT4" s="5"/>
      <c r="KQU4" s="5"/>
      <c r="KQV4" s="5"/>
      <c r="KQW4" s="5"/>
      <c r="KQX4" s="5"/>
      <c r="KQY4" s="5"/>
      <c r="KQZ4" s="5"/>
      <c r="KRA4" s="5"/>
      <c r="KRB4" s="5"/>
      <c r="KRC4" s="5"/>
      <c r="KRD4" s="5"/>
      <c r="KRE4" s="5"/>
      <c r="KRF4" s="5"/>
      <c r="KRG4" s="5"/>
      <c r="KRH4" s="5"/>
      <c r="KRI4" s="5"/>
      <c r="KRJ4" s="5"/>
      <c r="KRK4" s="5"/>
      <c r="KRL4" s="5"/>
      <c r="KRM4" s="5"/>
      <c r="KRN4" s="5"/>
      <c r="KRO4" s="5"/>
      <c r="KRP4" s="5"/>
      <c r="KRQ4" s="5"/>
      <c r="KRR4" s="5"/>
      <c r="KRS4" s="5"/>
      <c r="KRT4" s="5"/>
      <c r="KRU4" s="5"/>
      <c r="KRV4" s="5"/>
      <c r="KRW4" s="5"/>
      <c r="KRX4" s="5"/>
      <c r="KRY4" s="5"/>
      <c r="KRZ4" s="5"/>
      <c r="KSA4" s="5"/>
      <c r="KSB4" s="5"/>
      <c r="KSC4" s="5"/>
      <c r="KSD4" s="5"/>
      <c r="KSE4" s="5"/>
      <c r="KSF4" s="5"/>
      <c r="KSG4" s="5"/>
      <c r="KSH4" s="5"/>
      <c r="KSI4" s="5"/>
      <c r="KSJ4" s="5"/>
      <c r="KSK4" s="5"/>
      <c r="KSL4" s="5"/>
      <c r="KSM4" s="5"/>
      <c r="KSN4" s="5"/>
      <c r="KSO4" s="5"/>
      <c r="KSP4" s="5"/>
      <c r="KSQ4" s="5"/>
      <c r="KSR4" s="5"/>
      <c r="KSS4" s="5"/>
      <c r="KST4" s="5"/>
      <c r="KSU4" s="5"/>
      <c r="KSV4" s="5"/>
      <c r="KSW4" s="5"/>
      <c r="KSX4" s="5"/>
      <c r="KSY4" s="5"/>
      <c r="KSZ4" s="5"/>
      <c r="KTA4" s="5"/>
      <c r="KTB4" s="5"/>
      <c r="KTC4" s="5"/>
      <c r="KTD4" s="5"/>
      <c r="KTE4" s="5"/>
      <c r="KTF4" s="5"/>
      <c r="KTG4" s="5"/>
      <c r="KTH4" s="5"/>
      <c r="KTI4" s="5"/>
      <c r="KTJ4" s="5"/>
      <c r="KTK4" s="5"/>
      <c r="KTL4" s="5"/>
      <c r="KTM4" s="5"/>
      <c r="KTN4" s="5"/>
      <c r="KTO4" s="5"/>
      <c r="KTP4" s="5"/>
      <c r="KTQ4" s="5"/>
      <c r="KTR4" s="5"/>
      <c r="KTS4" s="5"/>
      <c r="KTT4" s="5"/>
      <c r="KTU4" s="5"/>
      <c r="KTV4" s="5"/>
      <c r="KTW4" s="5"/>
      <c r="KTX4" s="5"/>
      <c r="KTY4" s="5"/>
      <c r="KTZ4" s="5"/>
      <c r="KUA4" s="5"/>
      <c r="KUB4" s="5"/>
      <c r="KUC4" s="5"/>
      <c r="KUD4" s="5"/>
      <c r="KUE4" s="5"/>
      <c r="KUF4" s="5"/>
      <c r="KUG4" s="5"/>
      <c r="KUH4" s="5"/>
      <c r="KUI4" s="5"/>
      <c r="KUJ4" s="5"/>
      <c r="KUK4" s="5"/>
      <c r="KUL4" s="5"/>
      <c r="KUM4" s="5"/>
      <c r="KUN4" s="5"/>
      <c r="KUO4" s="5"/>
      <c r="KUP4" s="5"/>
      <c r="KUQ4" s="5"/>
      <c r="KUR4" s="5"/>
      <c r="KUS4" s="5"/>
      <c r="KUT4" s="5"/>
      <c r="KUU4" s="5"/>
      <c r="KUV4" s="5"/>
      <c r="KUW4" s="5"/>
      <c r="KUX4" s="5"/>
      <c r="KUY4" s="5"/>
      <c r="KUZ4" s="5"/>
      <c r="KVA4" s="5"/>
      <c r="KVB4" s="5"/>
      <c r="KVC4" s="5"/>
      <c r="KVD4" s="5"/>
      <c r="KVE4" s="5"/>
      <c r="KVF4" s="5"/>
      <c r="KVG4" s="5"/>
      <c r="KVH4" s="5"/>
      <c r="KVI4" s="5"/>
      <c r="KVJ4" s="5"/>
      <c r="KVK4" s="5"/>
      <c r="KVL4" s="5"/>
      <c r="KVM4" s="5"/>
      <c r="KVN4" s="5"/>
      <c r="KVO4" s="5"/>
      <c r="KVP4" s="5"/>
      <c r="KVQ4" s="5"/>
      <c r="KVR4" s="5"/>
      <c r="KVS4" s="5"/>
      <c r="KVT4" s="5"/>
      <c r="KVU4" s="5"/>
      <c r="KVV4" s="5"/>
      <c r="KVW4" s="5"/>
      <c r="KVX4" s="5"/>
      <c r="KVY4" s="5"/>
      <c r="KVZ4" s="5"/>
      <c r="KWA4" s="5"/>
      <c r="KWB4" s="5"/>
      <c r="KWC4" s="5"/>
      <c r="KWD4" s="5"/>
      <c r="KWE4" s="5"/>
      <c r="KWF4" s="5"/>
      <c r="KWG4" s="5"/>
      <c r="KWH4" s="5"/>
      <c r="KWI4" s="5"/>
      <c r="KWJ4" s="5"/>
      <c r="KWK4" s="5"/>
      <c r="KWL4" s="5"/>
      <c r="KWM4" s="5"/>
      <c r="KWN4" s="5"/>
      <c r="KWO4" s="5"/>
      <c r="KWP4" s="5"/>
      <c r="KWQ4" s="5"/>
      <c r="KWR4" s="5"/>
      <c r="KWS4" s="5"/>
      <c r="KWT4" s="5"/>
      <c r="KWU4" s="5"/>
      <c r="KWV4" s="5"/>
      <c r="KWW4" s="5"/>
      <c r="KWX4" s="5"/>
      <c r="KWY4" s="5"/>
      <c r="KWZ4" s="5"/>
      <c r="KXA4" s="5"/>
      <c r="KXB4" s="5"/>
      <c r="KXC4" s="5"/>
      <c r="KXD4" s="5"/>
      <c r="KXE4" s="5"/>
      <c r="KXF4" s="5"/>
      <c r="KXG4" s="5"/>
      <c r="KXH4" s="5"/>
      <c r="KXI4" s="5"/>
      <c r="KXJ4" s="5"/>
      <c r="KXK4" s="5"/>
      <c r="KXL4" s="5"/>
      <c r="KXM4" s="5"/>
      <c r="KXN4" s="5"/>
      <c r="KXO4" s="5"/>
      <c r="KXP4" s="5"/>
      <c r="KXQ4" s="5"/>
      <c r="KXR4" s="5"/>
      <c r="KXS4" s="5"/>
      <c r="KXT4" s="5"/>
      <c r="KXU4" s="5"/>
      <c r="KXV4" s="5"/>
      <c r="KXW4" s="5"/>
      <c r="KXX4" s="5"/>
      <c r="KXY4" s="5"/>
      <c r="KXZ4" s="5"/>
      <c r="KYA4" s="5"/>
      <c r="KYB4" s="5"/>
      <c r="KYC4" s="5"/>
      <c r="KYD4" s="5"/>
      <c r="KYE4" s="5"/>
      <c r="KYF4" s="5"/>
      <c r="KYG4" s="5"/>
      <c r="KYH4" s="5"/>
      <c r="KYI4" s="5"/>
      <c r="KYJ4" s="5"/>
      <c r="KYK4" s="5"/>
      <c r="KYL4" s="5"/>
      <c r="KYM4" s="5"/>
      <c r="KYN4" s="5"/>
      <c r="KYO4" s="5"/>
      <c r="KYP4" s="5"/>
      <c r="KYQ4" s="5"/>
      <c r="KYR4" s="5"/>
      <c r="KYS4" s="5"/>
      <c r="KYT4" s="5"/>
      <c r="KYU4" s="5"/>
      <c r="KYV4" s="5"/>
      <c r="KYW4" s="5"/>
      <c r="KYX4" s="5"/>
      <c r="KYY4" s="5"/>
      <c r="KYZ4" s="5"/>
      <c r="KZA4" s="5"/>
      <c r="KZB4" s="5"/>
      <c r="KZC4" s="5"/>
      <c r="KZD4" s="5"/>
      <c r="KZE4" s="5"/>
      <c r="KZF4" s="5"/>
      <c r="KZG4" s="5"/>
      <c r="KZH4" s="5"/>
      <c r="KZI4" s="5"/>
      <c r="KZJ4" s="5"/>
      <c r="KZK4" s="5"/>
      <c r="KZL4" s="5"/>
      <c r="KZM4" s="5"/>
      <c r="KZN4" s="5"/>
      <c r="KZO4" s="5"/>
      <c r="KZP4" s="5"/>
      <c r="KZQ4" s="5"/>
      <c r="KZR4" s="5"/>
      <c r="KZS4" s="5"/>
      <c r="KZT4" s="5"/>
      <c r="KZU4" s="5"/>
      <c r="KZV4" s="5"/>
      <c r="KZW4" s="5"/>
      <c r="KZX4" s="5"/>
      <c r="KZY4" s="5"/>
      <c r="KZZ4" s="5"/>
      <c r="LAA4" s="5"/>
      <c r="LAB4" s="5"/>
      <c r="LAC4" s="5"/>
      <c r="LAD4" s="5"/>
      <c r="LAE4" s="5"/>
      <c r="LAF4" s="5"/>
      <c r="LAG4" s="5"/>
      <c r="LAH4" s="5"/>
      <c r="LAI4" s="5"/>
      <c r="LAJ4" s="5"/>
      <c r="LAK4" s="5"/>
      <c r="LAL4" s="5"/>
      <c r="LAM4" s="5"/>
      <c r="LAN4" s="5"/>
      <c r="LAO4" s="5"/>
      <c r="LAP4" s="5"/>
      <c r="LAQ4" s="5"/>
      <c r="LAR4" s="5"/>
      <c r="LAS4" s="5"/>
      <c r="LAT4" s="5"/>
      <c r="LAU4" s="5"/>
      <c r="LAV4" s="5"/>
      <c r="LAW4" s="5"/>
      <c r="LAX4" s="5"/>
      <c r="LAY4" s="5"/>
      <c r="LAZ4" s="5"/>
      <c r="LBA4" s="5"/>
      <c r="LBB4" s="5"/>
      <c r="LBC4" s="5"/>
      <c r="LBD4" s="5"/>
      <c r="LBE4" s="5"/>
      <c r="LBF4" s="5"/>
      <c r="LBG4" s="5"/>
      <c r="LBH4" s="5"/>
      <c r="LBI4" s="5"/>
      <c r="LBJ4" s="5"/>
      <c r="LBK4" s="5"/>
      <c r="LBL4" s="5"/>
      <c r="LBM4" s="5"/>
      <c r="LBN4" s="5"/>
      <c r="LBO4" s="5"/>
      <c r="LBP4" s="5"/>
      <c r="LBQ4" s="5"/>
      <c r="LBR4" s="5"/>
      <c r="LBS4" s="5"/>
      <c r="LBT4" s="5"/>
      <c r="LBU4" s="5"/>
      <c r="LBV4" s="5"/>
      <c r="LBW4" s="5"/>
      <c r="LBX4" s="5"/>
      <c r="LBY4" s="5"/>
      <c r="LBZ4" s="5"/>
      <c r="LCA4" s="5"/>
      <c r="LCB4" s="5"/>
      <c r="LCC4" s="5"/>
      <c r="LCD4" s="5"/>
      <c r="LCE4" s="5"/>
      <c r="LCF4" s="5"/>
      <c r="LCG4" s="5"/>
      <c r="LCH4" s="5"/>
      <c r="LCI4" s="5"/>
      <c r="LCJ4" s="5"/>
      <c r="LCK4" s="5"/>
      <c r="LCL4" s="5"/>
      <c r="LCM4" s="5"/>
      <c r="LCN4" s="5"/>
      <c r="LCO4" s="5"/>
      <c r="LCP4" s="5"/>
      <c r="LCQ4" s="5"/>
      <c r="LCR4" s="5"/>
      <c r="LCS4" s="5"/>
      <c r="LCT4" s="5"/>
      <c r="LCU4" s="5"/>
      <c r="LCV4" s="5"/>
      <c r="LCW4" s="5"/>
      <c r="LCX4" s="5"/>
      <c r="LCY4" s="5"/>
      <c r="LCZ4" s="5"/>
      <c r="LDA4" s="5"/>
      <c r="LDB4" s="5"/>
      <c r="LDC4" s="5"/>
      <c r="LDD4" s="5"/>
      <c r="LDE4" s="5"/>
      <c r="LDF4" s="5"/>
      <c r="LDG4" s="5"/>
      <c r="LDH4" s="5"/>
      <c r="LDI4" s="5"/>
      <c r="LDJ4" s="5"/>
      <c r="LDK4" s="5"/>
      <c r="LDL4" s="5"/>
      <c r="LDM4" s="5"/>
      <c r="LDN4" s="5"/>
      <c r="LDO4" s="5"/>
      <c r="LDP4" s="5"/>
      <c r="LDQ4" s="5"/>
      <c r="LDR4" s="5"/>
      <c r="LDS4" s="5"/>
      <c r="LDT4" s="5"/>
      <c r="LDU4" s="5"/>
      <c r="LDV4" s="5"/>
      <c r="LDW4" s="5"/>
      <c r="LDX4" s="5"/>
      <c r="LDY4" s="5"/>
      <c r="LDZ4" s="5"/>
      <c r="LEA4" s="5"/>
      <c r="LEB4" s="5"/>
      <c r="LEC4" s="5"/>
      <c r="LED4" s="5"/>
      <c r="LEE4" s="5"/>
      <c r="LEF4" s="5"/>
      <c r="LEG4" s="5"/>
      <c r="LEH4" s="5"/>
      <c r="LEI4" s="5"/>
      <c r="LEJ4" s="5"/>
      <c r="LEK4" s="5"/>
      <c r="LEL4" s="5"/>
      <c r="LEM4" s="5"/>
      <c r="LEN4" s="5"/>
      <c r="LEO4" s="5"/>
      <c r="LEP4" s="5"/>
      <c r="LEQ4" s="5"/>
      <c r="LER4" s="5"/>
      <c r="LES4" s="5"/>
      <c r="LET4" s="5"/>
      <c r="LEU4" s="5"/>
      <c r="LEV4" s="5"/>
      <c r="LEW4" s="5"/>
      <c r="LEX4" s="5"/>
      <c r="LEY4" s="5"/>
      <c r="LEZ4" s="5"/>
      <c r="LFA4" s="5"/>
      <c r="LFB4" s="5"/>
      <c r="LFC4" s="5"/>
      <c r="LFD4" s="5"/>
      <c r="LFE4" s="5"/>
      <c r="LFF4" s="5"/>
      <c r="LFG4" s="5"/>
      <c r="LFH4" s="5"/>
      <c r="LFI4" s="5"/>
      <c r="LFJ4" s="5"/>
      <c r="LFK4" s="5"/>
      <c r="LFL4" s="5"/>
      <c r="LFM4" s="5"/>
      <c r="LFN4" s="5"/>
      <c r="LFO4" s="5"/>
      <c r="LFP4" s="5"/>
      <c r="LFQ4" s="5"/>
      <c r="LFR4" s="5"/>
      <c r="LFS4" s="5"/>
      <c r="LFT4" s="5"/>
      <c r="LFU4" s="5"/>
      <c r="LFV4" s="5"/>
      <c r="LFW4" s="5"/>
      <c r="LFX4" s="5"/>
      <c r="LFY4" s="5"/>
      <c r="LFZ4" s="5"/>
      <c r="LGA4" s="5"/>
      <c r="LGB4" s="5"/>
      <c r="LGC4" s="5"/>
      <c r="LGD4" s="5"/>
      <c r="LGE4" s="5"/>
      <c r="LGF4" s="5"/>
      <c r="LGG4" s="5"/>
      <c r="LGH4" s="5"/>
      <c r="LGI4" s="5"/>
      <c r="LGJ4" s="5"/>
      <c r="LGK4" s="5"/>
      <c r="LGL4" s="5"/>
      <c r="LGM4" s="5"/>
      <c r="LGN4" s="5"/>
      <c r="LGO4" s="5"/>
      <c r="LGP4" s="5"/>
      <c r="LGQ4" s="5"/>
      <c r="LGR4" s="5"/>
      <c r="LGS4" s="5"/>
      <c r="LGT4" s="5"/>
      <c r="LGU4" s="5"/>
      <c r="LGV4" s="5"/>
      <c r="LGW4" s="5"/>
      <c r="LGX4" s="5"/>
      <c r="LGY4" s="5"/>
      <c r="LGZ4" s="5"/>
      <c r="LHA4" s="5"/>
      <c r="LHB4" s="5"/>
      <c r="LHC4" s="5"/>
      <c r="LHD4" s="5"/>
      <c r="LHE4" s="5"/>
      <c r="LHF4" s="5"/>
      <c r="LHG4" s="5"/>
      <c r="LHH4" s="5"/>
      <c r="LHI4" s="5"/>
      <c r="LHJ4" s="5"/>
      <c r="LHK4" s="5"/>
      <c r="LHL4" s="5"/>
      <c r="LHM4" s="5"/>
      <c r="LHN4" s="5"/>
      <c r="LHO4" s="5"/>
      <c r="LHP4" s="5"/>
      <c r="LHQ4" s="5"/>
      <c r="LHR4" s="5"/>
      <c r="LHS4" s="5"/>
      <c r="LHT4" s="5"/>
      <c r="LHU4" s="5"/>
      <c r="LHV4" s="5"/>
      <c r="LHW4" s="5"/>
      <c r="LHX4" s="5"/>
      <c r="LHY4" s="5"/>
      <c r="LHZ4" s="5"/>
      <c r="LIA4" s="5"/>
      <c r="LIB4" s="5"/>
      <c r="LIC4" s="5"/>
      <c r="LID4" s="5"/>
      <c r="LIE4" s="5"/>
      <c r="LIF4" s="5"/>
      <c r="LIG4" s="5"/>
      <c r="LIH4" s="5"/>
      <c r="LII4" s="5"/>
      <c r="LIJ4" s="5"/>
      <c r="LIK4" s="5"/>
      <c r="LIL4" s="5"/>
      <c r="LIM4" s="5"/>
      <c r="LIN4" s="5"/>
      <c r="LIO4" s="5"/>
      <c r="LIP4" s="5"/>
      <c r="LIQ4" s="5"/>
      <c r="LIR4" s="5"/>
      <c r="LIS4" s="5"/>
      <c r="LIT4" s="5"/>
      <c r="LIU4" s="5"/>
      <c r="LIV4" s="5"/>
      <c r="LIW4" s="5"/>
      <c r="LIX4" s="5"/>
      <c r="LIY4" s="5"/>
      <c r="LIZ4" s="5"/>
      <c r="LJA4" s="5"/>
      <c r="LJB4" s="5"/>
      <c r="LJC4" s="5"/>
      <c r="LJD4" s="5"/>
      <c r="LJE4" s="5"/>
      <c r="LJF4" s="5"/>
      <c r="LJG4" s="5"/>
      <c r="LJH4" s="5"/>
      <c r="LJI4" s="5"/>
      <c r="LJJ4" s="5"/>
      <c r="LJK4" s="5"/>
      <c r="LJL4" s="5"/>
      <c r="LJM4" s="5"/>
      <c r="LJN4" s="5"/>
      <c r="LJO4" s="5"/>
      <c r="LJP4" s="5"/>
      <c r="LJQ4" s="5"/>
      <c r="LJR4" s="5"/>
      <c r="LJS4" s="5"/>
      <c r="LJT4" s="5"/>
      <c r="LJU4" s="5"/>
      <c r="LJV4" s="5"/>
      <c r="LJW4" s="5"/>
      <c r="LJX4" s="5"/>
      <c r="LJY4" s="5"/>
      <c r="LJZ4" s="5"/>
      <c r="LKA4" s="5"/>
      <c r="LKB4" s="5"/>
      <c r="LKC4" s="5"/>
      <c r="LKD4" s="5"/>
      <c r="LKE4" s="5"/>
      <c r="LKF4" s="5"/>
      <c r="LKG4" s="5"/>
      <c r="LKH4" s="5"/>
      <c r="LKI4" s="5"/>
      <c r="LKJ4" s="5"/>
      <c r="LKK4" s="5"/>
      <c r="LKL4" s="5"/>
      <c r="LKM4" s="5"/>
      <c r="LKN4" s="5"/>
      <c r="LKO4" s="5"/>
      <c r="LKP4" s="5"/>
      <c r="LKQ4" s="5"/>
      <c r="LKR4" s="5"/>
      <c r="LKS4" s="5"/>
      <c r="LKT4" s="5"/>
      <c r="LKU4" s="5"/>
      <c r="LKV4" s="5"/>
      <c r="LKW4" s="5"/>
      <c r="LKX4" s="5"/>
      <c r="LKY4" s="5"/>
      <c r="LKZ4" s="5"/>
      <c r="LLA4" s="5"/>
      <c r="LLB4" s="5"/>
      <c r="LLC4" s="5"/>
      <c r="LLD4" s="5"/>
      <c r="LLE4" s="5"/>
      <c r="LLF4" s="5"/>
      <c r="LLG4" s="5"/>
      <c r="LLH4" s="5"/>
      <c r="LLI4" s="5"/>
      <c r="LLJ4" s="5"/>
      <c r="LLK4" s="5"/>
      <c r="LLL4" s="5"/>
      <c r="LLM4" s="5"/>
      <c r="LLN4" s="5"/>
      <c r="LLO4" s="5"/>
      <c r="LLP4" s="5"/>
      <c r="LLQ4" s="5"/>
      <c r="LLR4" s="5"/>
      <c r="LLS4" s="5"/>
      <c r="LLT4" s="5"/>
      <c r="LLU4" s="5"/>
      <c r="LLV4" s="5"/>
      <c r="LLW4" s="5"/>
      <c r="LLX4" s="5"/>
      <c r="LLY4" s="5"/>
      <c r="LLZ4" s="5"/>
      <c r="LMA4" s="5"/>
      <c r="LMB4" s="5"/>
      <c r="LMC4" s="5"/>
      <c r="LMD4" s="5"/>
      <c r="LME4" s="5"/>
      <c r="LMF4" s="5"/>
      <c r="LMG4" s="5"/>
      <c r="LMH4" s="5"/>
      <c r="LMI4" s="5"/>
      <c r="LMJ4" s="5"/>
      <c r="LMK4" s="5"/>
      <c r="LML4" s="5"/>
      <c r="LMM4" s="5"/>
      <c r="LMN4" s="5"/>
      <c r="LMO4" s="5"/>
      <c r="LMP4" s="5"/>
      <c r="LMQ4" s="5"/>
      <c r="LMR4" s="5"/>
      <c r="LMS4" s="5"/>
      <c r="LMT4" s="5"/>
      <c r="LMU4" s="5"/>
      <c r="LMV4" s="5"/>
      <c r="LMW4" s="5"/>
      <c r="LMX4" s="5"/>
      <c r="LMY4" s="5"/>
      <c r="LMZ4" s="5"/>
      <c r="LNA4" s="5"/>
      <c r="LNB4" s="5"/>
      <c r="LNC4" s="5"/>
      <c r="LND4" s="5"/>
      <c r="LNE4" s="5"/>
      <c r="LNF4" s="5"/>
      <c r="LNG4" s="5"/>
      <c r="LNH4" s="5"/>
      <c r="LNI4" s="5"/>
      <c r="LNJ4" s="5"/>
      <c r="LNK4" s="5"/>
      <c r="LNL4" s="5"/>
      <c r="LNM4" s="5"/>
      <c r="LNN4" s="5"/>
      <c r="LNO4" s="5"/>
      <c r="LNP4" s="5"/>
      <c r="LNQ4" s="5"/>
      <c r="LNR4" s="5"/>
      <c r="LNS4" s="5"/>
      <c r="LNT4" s="5"/>
      <c r="LNU4" s="5"/>
      <c r="LNV4" s="5"/>
      <c r="LNW4" s="5"/>
      <c r="LNX4" s="5"/>
      <c r="LNY4" s="5"/>
      <c r="LNZ4" s="5"/>
      <c r="LOA4" s="5"/>
      <c r="LOB4" s="5"/>
      <c r="LOC4" s="5"/>
      <c r="LOD4" s="5"/>
      <c r="LOE4" s="5"/>
      <c r="LOF4" s="5"/>
      <c r="LOG4" s="5"/>
      <c r="LOH4" s="5"/>
      <c r="LOI4" s="5"/>
      <c r="LOJ4" s="5"/>
      <c r="LOK4" s="5"/>
      <c r="LOL4" s="5"/>
      <c r="LOM4" s="5"/>
      <c r="LON4" s="5"/>
      <c r="LOO4" s="5"/>
      <c r="LOP4" s="5"/>
      <c r="LOQ4" s="5"/>
      <c r="LOR4" s="5"/>
      <c r="LOS4" s="5"/>
      <c r="LOT4" s="5"/>
      <c r="LOU4" s="5"/>
      <c r="LOV4" s="5"/>
      <c r="LOW4" s="5"/>
      <c r="LOX4" s="5"/>
      <c r="LOY4" s="5"/>
      <c r="LOZ4" s="5"/>
      <c r="LPA4" s="5"/>
      <c r="LPB4" s="5"/>
      <c r="LPC4" s="5"/>
      <c r="LPD4" s="5"/>
      <c r="LPE4" s="5"/>
      <c r="LPF4" s="5"/>
      <c r="LPG4" s="5"/>
      <c r="LPH4" s="5"/>
      <c r="LPI4" s="5"/>
      <c r="LPJ4" s="5"/>
      <c r="LPK4" s="5"/>
      <c r="LPL4" s="5"/>
      <c r="LPM4" s="5"/>
      <c r="LPN4" s="5"/>
      <c r="LPO4" s="5"/>
      <c r="LPP4" s="5"/>
      <c r="LPQ4" s="5"/>
      <c r="LPR4" s="5"/>
      <c r="LPS4" s="5"/>
      <c r="LPT4" s="5"/>
      <c r="LPU4" s="5"/>
      <c r="LPV4" s="5"/>
      <c r="LPW4" s="5"/>
      <c r="LPX4" s="5"/>
      <c r="LPY4" s="5"/>
      <c r="LPZ4" s="5"/>
      <c r="LQA4" s="5"/>
      <c r="LQB4" s="5"/>
      <c r="LQC4" s="5"/>
      <c r="LQD4" s="5"/>
      <c r="LQE4" s="5"/>
      <c r="LQF4" s="5"/>
      <c r="LQG4" s="5"/>
      <c r="LQH4" s="5"/>
      <c r="LQI4" s="5"/>
      <c r="LQJ4" s="5"/>
      <c r="LQK4" s="5"/>
      <c r="LQL4" s="5"/>
      <c r="LQM4" s="5"/>
      <c r="LQN4" s="5"/>
      <c r="LQO4" s="5"/>
      <c r="LQP4" s="5"/>
      <c r="LQQ4" s="5"/>
      <c r="LQR4" s="5"/>
      <c r="LQS4" s="5"/>
      <c r="LQT4" s="5"/>
      <c r="LQU4" s="5"/>
      <c r="LQV4" s="5"/>
      <c r="LQW4" s="5"/>
      <c r="LQX4" s="5"/>
      <c r="LQY4" s="5"/>
      <c r="LQZ4" s="5"/>
      <c r="LRA4" s="5"/>
      <c r="LRB4" s="5"/>
      <c r="LRC4" s="5"/>
      <c r="LRD4" s="5"/>
      <c r="LRE4" s="5"/>
      <c r="LRF4" s="5"/>
      <c r="LRG4" s="5"/>
      <c r="LRH4" s="5"/>
      <c r="LRI4" s="5"/>
      <c r="LRJ4" s="5"/>
      <c r="LRK4" s="5"/>
      <c r="LRL4" s="5"/>
      <c r="LRM4" s="5"/>
      <c r="LRN4" s="5"/>
      <c r="LRO4" s="5"/>
      <c r="LRP4" s="5"/>
      <c r="LRQ4" s="5"/>
      <c r="LRR4" s="5"/>
      <c r="LRS4" s="5"/>
      <c r="LRT4" s="5"/>
      <c r="LRU4" s="5"/>
      <c r="LRV4" s="5"/>
      <c r="LRW4" s="5"/>
      <c r="LRX4" s="5"/>
      <c r="LRY4" s="5"/>
      <c r="LRZ4" s="5"/>
      <c r="LSA4" s="5"/>
      <c r="LSB4" s="5"/>
      <c r="LSC4" s="5"/>
      <c r="LSD4" s="5"/>
      <c r="LSE4" s="5"/>
      <c r="LSF4" s="5"/>
      <c r="LSG4" s="5"/>
      <c r="LSH4" s="5"/>
      <c r="LSI4" s="5"/>
      <c r="LSJ4" s="5"/>
      <c r="LSK4" s="5"/>
      <c r="LSL4" s="5"/>
      <c r="LSM4" s="5"/>
      <c r="LSN4" s="5"/>
      <c r="LSO4" s="5"/>
      <c r="LSP4" s="5"/>
      <c r="LSQ4" s="5"/>
      <c r="LSR4" s="5"/>
      <c r="LSS4" s="5"/>
      <c r="LST4" s="5"/>
      <c r="LSU4" s="5"/>
      <c r="LSV4" s="5"/>
      <c r="LSW4" s="5"/>
      <c r="LSX4" s="5"/>
      <c r="LSY4" s="5"/>
      <c r="LSZ4" s="5"/>
      <c r="LTA4" s="5"/>
      <c r="LTB4" s="5"/>
      <c r="LTC4" s="5"/>
      <c r="LTD4" s="5"/>
      <c r="LTE4" s="5"/>
      <c r="LTF4" s="5"/>
      <c r="LTG4" s="5"/>
      <c r="LTH4" s="5"/>
      <c r="LTI4" s="5"/>
      <c r="LTJ4" s="5"/>
      <c r="LTK4" s="5"/>
      <c r="LTL4" s="5"/>
      <c r="LTM4" s="5"/>
      <c r="LTN4" s="5"/>
      <c r="LTO4" s="5"/>
      <c r="LTP4" s="5"/>
      <c r="LTQ4" s="5"/>
      <c r="LTR4" s="5"/>
      <c r="LTS4" s="5"/>
      <c r="LTT4" s="5"/>
      <c r="LTU4" s="5"/>
      <c r="LTV4" s="5"/>
      <c r="LTW4" s="5"/>
      <c r="LTX4" s="5"/>
      <c r="LTY4" s="5"/>
      <c r="LTZ4" s="5"/>
      <c r="LUA4" s="5"/>
      <c r="LUB4" s="5"/>
      <c r="LUC4" s="5"/>
      <c r="LUD4" s="5"/>
      <c r="LUE4" s="5"/>
      <c r="LUF4" s="5"/>
      <c r="LUG4" s="5"/>
      <c r="LUH4" s="5"/>
      <c r="LUI4" s="5"/>
      <c r="LUJ4" s="5"/>
      <c r="LUK4" s="5"/>
      <c r="LUL4" s="5"/>
      <c r="LUM4" s="5"/>
      <c r="LUN4" s="5"/>
      <c r="LUO4" s="5"/>
      <c r="LUP4" s="5"/>
      <c r="LUQ4" s="5"/>
      <c r="LUR4" s="5"/>
      <c r="LUS4" s="5"/>
      <c r="LUT4" s="5"/>
      <c r="LUU4" s="5"/>
      <c r="LUV4" s="5"/>
      <c r="LUW4" s="5"/>
      <c r="LUX4" s="5"/>
      <c r="LUY4" s="5"/>
      <c r="LUZ4" s="5"/>
      <c r="LVA4" s="5"/>
      <c r="LVB4" s="5"/>
      <c r="LVC4" s="5"/>
      <c r="LVD4" s="5"/>
      <c r="LVE4" s="5"/>
      <c r="LVF4" s="5"/>
      <c r="LVG4" s="5"/>
      <c r="LVH4" s="5"/>
      <c r="LVI4" s="5"/>
      <c r="LVJ4" s="5"/>
      <c r="LVK4" s="5"/>
      <c r="LVL4" s="5"/>
      <c r="LVM4" s="5"/>
      <c r="LVN4" s="5"/>
      <c r="LVO4" s="5"/>
      <c r="LVP4" s="5"/>
      <c r="LVQ4" s="5"/>
      <c r="LVR4" s="5"/>
      <c r="LVS4" s="5"/>
      <c r="LVT4" s="5"/>
      <c r="LVU4" s="5"/>
      <c r="LVV4" s="5"/>
      <c r="LVW4" s="5"/>
      <c r="LVX4" s="5"/>
      <c r="LVY4" s="5"/>
      <c r="LVZ4" s="5"/>
      <c r="LWA4" s="5"/>
      <c r="LWB4" s="5"/>
      <c r="LWC4" s="5"/>
      <c r="LWD4" s="5"/>
      <c r="LWE4" s="5"/>
      <c r="LWF4" s="5"/>
      <c r="LWG4" s="5"/>
      <c r="LWH4" s="5"/>
      <c r="LWI4" s="5"/>
      <c r="LWJ4" s="5"/>
      <c r="LWK4" s="5"/>
      <c r="LWL4" s="5"/>
      <c r="LWM4" s="5"/>
      <c r="LWN4" s="5"/>
      <c r="LWO4" s="5"/>
      <c r="LWP4" s="5"/>
      <c r="LWQ4" s="5"/>
      <c r="LWR4" s="5"/>
      <c r="LWS4" s="5"/>
      <c r="LWT4" s="5"/>
      <c r="LWU4" s="5"/>
      <c r="LWV4" s="5"/>
      <c r="LWW4" s="5"/>
      <c r="LWX4" s="5"/>
      <c r="LWY4" s="5"/>
      <c r="LWZ4" s="5"/>
      <c r="LXA4" s="5"/>
      <c r="LXB4" s="5"/>
      <c r="LXC4" s="5"/>
      <c r="LXD4" s="5"/>
      <c r="LXE4" s="5"/>
      <c r="LXF4" s="5"/>
      <c r="LXG4" s="5"/>
      <c r="LXH4" s="5"/>
      <c r="LXI4" s="5"/>
      <c r="LXJ4" s="5"/>
      <c r="LXK4" s="5"/>
      <c r="LXL4" s="5"/>
      <c r="LXM4" s="5"/>
      <c r="LXN4" s="5"/>
      <c r="LXO4" s="5"/>
      <c r="LXP4" s="5"/>
      <c r="LXQ4" s="5"/>
      <c r="LXR4" s="5"/>
      <c r="LXS4" s="5"/>
      <c r="LXT4" s="5"/>
      <c r="LXU4" s="5"/>
      <c r="LXV4" s="5"/>
      <c r="LXW4" s="5"/>
      <c r="LXX4" s="5"/>
      <c r="LXY4" s="5"/>
      <c r="LXZ4" s="5"/>
      <c r="LYA4" s="5"/>
      <c r="LYB4" s="5"/>
      <c r="LYC4" s="5"/>
      <c r="LYD4" s="5"/>
      <c r="LYE4" s="5"/>
      <c r="LYF4" s="5"/>
      <c r="LYG4" s="5"/>
      <c r="LYH4" s="5"/>
      <c r="LYI4" s="5"/>
      <c r="LYJ4" s="5"/>
      <c r="LYK4" s="5"/>
      <c r="LYL4" s="5"/>
      <c r="LYM4" s="5"/>
      <c r="LYN4" s="5"/>
      <c r="LYO4" s="5"/>
      <c r="LYP4" s="5"/>
      <c r="LYQ4" s="5"/>
      <c r="LYR4" s="5"/>
      <c r="LYS4" s="5"/>
      <c r="LYT4" s="5"/>
      <c r="LYU4" s="5"/>
      <c r="LYV4" s="5"/>
      <c r="LYW4" s="5"/>
      <c r="LYX4" s="5"/>
      <c r="LYY4" s="5"/>
      <c r="LYZ4" s="5"/>
      <c r="LZA4" s="5"/>
      <c r="LZB4" s="5"/>
      <c r="LZC4" s="5"/>
      <c r="LZD4" s="5"/>
      <c r="LZE4" s="5"/>
      <c r="LZF4" s="5"/>
      <c r="LZG4" s="5"/>
      <c r="LZH4" s="5"/>
      <c r="LZI4" s="5"/>
      <c r="LZJ4" s="5"/>
      <c r="LZK4" s="5"/>
      <c r="LZL4" s="5"/>
      <c r="LZM4" s="5"/>
      <c r="LZN4" s="5"/>
      <c r="LZO4" s="5"/>
      <c r="LZP4" s="5"/>
      <c r="LZQ4" s="5"/>
      <c r="LZR4" s="5"/>
      <c r="LZS4" s="5"/>
      <c r="LZT4" s="5"/>
      <c r="LZU4" s="5"/>
      <c r="LZV4" s="5"/>
      <c r="LZW4" s="5"/>
      <c r="LZX4" s="5"/>
      <c r="LZY4" s="5"/>
      <c r="LZZ4" s="5"/>
      <c r="MAA4" s="5"/>
      <c r="MAB4" s="5"/>
      <c r="MAC4" s="5"/>
      <c r="MAD4" s="5"/>
      <c r="MAE4" s="5"/>
      <c r="MAF4" s="5"/>
      <c r="MAG4" s="5"/>
      <c r="MAH4" s="5"/>
      <c r="MAI4" s="5"/>
      <c r="MAJ4" s="5"/>
      <c r="MAK4" s="5"/>
      <c r="MAL4" s="5"/>
      <c r="MAM4" s="5"/>
      <c r="MAN4" s="5"/>
      <c r="MAO4" s="5"/>
      <c r="MAP4" s="5"/>
      <c r="MAQ4" s="5"/>
      <c r="MAR4" s="5"/>
      <c r="MAS4" s="5"/>
      <c r="MAT4" s="5"/>
      <c r="MAU4" s="5"/>
      <c r="MAV4" s="5"/>
      <c r="MAW4" s="5"/>
      <c r="MAX4" s="5"/>
      <c r="MAY4" s="5"/>
      <c r="MAZ4" s="5"/>
      <c r="MBA4" s="5"/>
      <c r="MBB4" s="5"/>
      <c r="MBC4" s="5"/>
      <c r="MBD4" s="5"/>
      <c r="MBE4" s="5"/>
      <c r="MBF4" s="5"/>
      <c r="MBG4" s="5"/>
      <c r="MBH4" s="5"/>
      <c r="MBI4" s="5"/>
      <c r="MBJ4" s="5"/>
      <c r="MBK4" s="5"/>
      <c r="MBL4" s="5"/>
      <c r="MBM4" s="5"/>
      <c r="MBN4" s="5"/>
      <c r="MBO4" s="5"/>
      <c r="MBP4" s="5"/>
      <c r="MBQ4" s="5"/>
      <c r="MBR4" s="5"/>
      <c r="MBS4" s="5"/>
      <c r="MBT4" s="5"/>
      <c r="MBU4" s="5"/>
      <c r="MBV4" s="5"/>
      <c r="MBW4" s="5"/>
      <c r="MBX4" s="5"/>
      <c r="MBY4" s="5"/>
      <c r="MBZ4" s="5"/>
      <c r="MCA4" s="5"/>
      <c r="MCB4" s="5"/>
      <c r="MCC4" s="5"/>
      <c r="MCD4" s="5"/>
      <c r="MCE4" s="5"/>
      <c r="MCF4" s="5"/>
      <c r="MCG4" s="5"/>
      <c r="MCH4" s="5"/>
      <c r="MCI4" s="5"/>
      <c r="MCJ4" s="5"/>
      <c r="MCK4" s="5"/>
      <c r="MCL4" s="5"/>
      <c r="MCM4" s="5"/>
      <c r="MCN4" s="5"/>
      <c r="MCO4" s="5"/>
      <c r="MCP4" s="5"/>
      <c r="MCQ4" s="5"/>
      <c r="MCR4" s="5"/>
      <c r="MCS4" s="5"/>
      <c r="MCT4" s="5"/>
      <c r="MCU4" s="5"/>
      <c r="MCV4" s="5"/>
      <c r="MCW4" s="5"/>
      <c r="MCX4" s="5"/>
      <c r="MCY4" s="5"/>
      <c r="MCZ4" s="5"/>
      <c r="MDA4" s="5"/>
      <c r="MDB4" s="5"/>
      <c r="MDC4" s="5"/>
      <c r="MDD4" s="5"/>
      <c r="MDE4" s="5"/>
      <c r="MDF4" s="5"/>
      <c r="MDG4" s="5"/>
      <c r="MDH4" s="5"/>
      <c r="MDI4" s="5"/>
      <c r="MDJ4" s="5"/>
      <c r="MDK4" s="5"/>
      <c r="MDL4" s="5"/>
      <c r="MDM4" s="5"/>
      <c r="MDN4" s="5"/>
      <c r="MDO4" s="5"/>
      <c r="MDP4" s="5"/>
      <c r="MDQ4" s="5"/>
      <c r="MDR4" s="5"/>
      <c r="MDS4" s="5"/>
      <c r="MDT4" s="5"/>
      <c r="MDU4" s="5"/>
      <c r="MDV4" s="5"/>
      <c r="MDW4" s="5"/>
      <c r="MDX4" s="5"/>
      <c r="MDY4" s="5"/>
      <c r="MDZ4" s="5"/>
      <c r="MEA4" s="5"/>
      <c r="MEB4" s="5"/>
      <c r="MEC4" s="5"/>
      <c r="MED4" s="5"/>
      <c r="MEE4" s="5"/>
      <c r="MEF4" s="5"/>
      <c r="MEG4" s="5"/>
      <c r="MEH4" s="5"/>
      <c r="MEI4" s="5"/>
      <c r="MEJ4" s="5"/>
      <c r="MEK4" s="5"/>
      <c r="MEL4" s="5"/>
      <c r="MEM4" s="5"/>
      <c r="MEN4" s="5"/>
      <c r="MEO4" s="5"/>
      <c r="MEP4" s="5"/>
      <c r="MEQ4" s="5"/>
      <c r="MER4" s="5"/>
      <c r="MES4" s="5"/>
      <c r="MET4" s="5"/>
      <c r="MEU4" s="5"/>
      <c r="MEV4" s="5"/>
      <c r="MEW4" s="5"/>
      <c r="MEX4" s="5"/>
      <c r="MEY4" s="5"/>
      <c r="MEZ4" s="5"/>
      <c r="MFA4" s="5"/>
      <c r="MFB4" s="5"/>
      <c r="MFC4" s="5"/>
      <c r="MFD4" s="5"/>
      <c r="MFE4" s="5"/>
      <c r="MFF4" s="5"/>
      <c r="MFG4" s="5"/>
      <c r="MFH4" s="5"/>
      <c r="MFI4" s="5"/>
      <c r="MFJ4" s="5"/>
      <c r="MFK4" s="5"/>
      <c r="MFL4" s="5"/>
      <c r="MFM4" s="5"/>
      <c r="MFN4" s="5"/>
      <c r="MFO4" s="5"/>
      <c r="MFP4" s="5"/>
      <c r="MFQ4" s="5"/>
      <c r="MFR4" s="5"/>
      <c r="MFS4" s="5"/>
      <c r="MFT4" s="5"/>
      <c r="MFU4" s="5"/>
      <c r="MFV4" s="5"/>
      <c r="MFW4" s="5"/>
      <c r="MFX4" s="5"/>
      <c r="MFY4" s="5"/>
      <c r="MFZ4" s="5"/>
      <c r="MGA4" s="5"/>
      <c r="MGB4" s="5"/>
      <c r="MGC4" s="5"/>
      <c r="MGD4" s="5"/>
      <c r="MGE4" s="5"/>
      <c r="MGF4" s="5"/>
      <c r="MGG4" s="5"/>
      <c r="MGH4" s="5"/>
      <c r="MGI4" s="5"/>
      <c r="MGJ4" s="5"/>
      <c r="MGK4" s="5"/>
      <c r="MGL4" s="5"/>
      <c r="MGM4" s="5"/>
      <c r="MGN4" s="5"/>
      <c r="MGO4" s="5"/>
      <c r="MGP4" s="5"/>
      <c r="MGQ4" s="5"/>
      <c r="MGR4" s="5"/>
      <c r="MGS4" s="5"/>
      <c r="MGT4" s="5"/>
      <c r="MGU4" s="5"/>
      <c r="MGV4" s="5"/>
      <c r="MGW4" s="5"/>
      <c r="MGX4" s="5"/>
      <c r="MGY4" s="5"/>
      <c r="MGZ4" s="5"/>
      <c r="MHA4" s="5"/>
      <c r="MHB4" s="5"/>
      <c r="MHC4" s="5"/>
      <c r="MHD4" s="5"/>
      <c r="MHE4" s="5"/>
      <c r="MHF4" s="5"/>
      <c r="MHG4" s="5"/>
      <c r="MHH4" s="5"/>
      <c r="MHI4" s="5"/>
      <c r="MHJ4" s="5"/>
      <c r="MHK4" s="5"/>
      <c r="MHL4" s="5"/>
      <c r="MHM4" s="5"/>
      <c r="MHN4" s="5"/>
      <c r="MHO4" s="5"/>
      <c r="MHP4" s="5"/>
      <c r="MHQ4" s="5"/>
      <c r="MHR4" s="5"/>
      <c r="MHS4" s="5"/>
      <c r="MHT4" s="5"/>
      <c r="MHU4" s="5"/>
      <c r="MHV4" s="5"/>
      <c r="MHW4" s="5"/>
      <c r="MHX4" s="5"/>
      <c r="MHY4" s="5"/>
      <c r="MHZ4" s="5"/>
      <c r="MIA4" s="5"/>
      <c r="MIB4" s="5"/>
      <c r="MIC4" s="5"/>
      <c r="MID4" s="5"/>
      <c r="MIE4" s="5"/>
      <c r="MIF4" s="5"/>
      <c r="MIG4" s="5"/>
      <c r="MIH4" s="5"/>
      <c r="MII4" s="5"/>
      <c r="MIJ4" s="5"/>
      <c r="MIK4" s="5"/>
      <c r="MIL4" s="5"/>
      <c r="MIM4" s="5"/>
      <c r="MIN4" s="5"/>
      <c r="MIO4" s="5"/>
      <c r="MIP4" s="5"/>
      <c r="MIQ4" s="5"/>
      <c r="MIR4" s="5"/>
      <c r="MIS4" s="5"/>
      <c r="MIT4" s="5"/>
      <c r="MIU4" s="5"/>
      <c r="MIV4" s="5"/>
      <c r="MIW4" s="5"/>
      <c r="MIX4" s="5"/>
      <c r="MIY4" s="5"/>
      <c r="MIZ4" s="5"/>
      <c r="MJA4" s="5"/>
      <c r="MJB4" s="5"/>
      <c r="MJC4" s="5"/>
      <c r="MJD4" s="5"/>
      <c r="MJE4" s="5"/>
      <c r="MJF4" s="5"/>
      <c r="MJG4" s="5"/>
      <c r="MJH4" s="5"/>
      <c r="MJI4" s="5"/>
      <c r="MJJ4" s="5"/>
      <c r="MJK4" s="5"/>
      <c r="MJL4" s="5"/>
      <c r="MJM4" s="5"/>
      <c r="MJN4" s="5"/>
      <c r="MJO4" s="5"/>
      <c r="MJP4" s="5"/>
      <c r="MJQ4" s="5"/>
      <c r="MJR4" s="5"/>
      <c r="MJS4" s="5"/>
      <c r="MJT4" s="5"/>
      <c r="MJU4" s="5"/>
      <c r="MJV4" s="5"/>
      <c r="MJW4" s="5"/>
      <c r="MJX4" s="5"/>
      <c r="MJY4" s="5"/>
      <c r="MJZ4" s="5"/>
      <c r="MKA4" s="5"/>
      <c r="MKB4" s="5"/>
      <c r="MKC4" s="5"/>
      <c r="MKD4" s="5"/>
      <c r="MKE4" s="5"/>
      <c r="MKF4" s="5"/>
      <c r="MKG4" s="5"/>
      <c r="MKH4" s="5"/>
      <c r="MKI4" s="5"/>
      <c r="MKJ4" s="5"/>
      <c r="MKK4" s="5"/>
      <c r="MKL4" s="5"/>
      <c r="MKM4" s="5"/>
      <c r="MKN4" s="5"/>
      <c r="MKO4" s="5"/>
      <c r="MKP4" s="5"/>
      <c r="MKQ4" s="5"/>
      <c r="MKR4" s="5"/>
      <c r="MKS4" s="5"/>
      <c r="MKT4" s="5"/>
      <c r="MKU4" s="5"/>
      <c r="MKV4" s="5"/>
      <c r="MKW4" s="5"/>
      <c r="MKX4" s="5"/>
      <c r="MKY4" s="5"/>
      <c r="MKZ4" s="5"/>
      <c r="MLA4" s="5"/>
      <c r="MLB4" s="5"/>
      <c r="MLC4" s="5"/>
      <c r="MLD4" s="5"/>
      <c r="MLE4" s="5"/>
      <c r="MLF4" s="5"/>
      <c r="MLG4" s="5"/>
      <c r="MLH4" s="5"/>
      <c r="MLI4" s="5"/>
      <c r="MLJ4" s="5"/>
      <c r="MLK4" s="5"/>
      <c r="MLL4" s="5"/>
      <c r="MLM4" s="5"/>
      <c r="MLN4" s="5"/>
      <c r="MLO4" s="5"/>
      <c r="MLP4" s="5"/>
      <c r="MLQ4" s="5"/>
      <c r="MLR4" s="5"/>
      <c r="MLS4" s="5"/>
      <c r="MLT4" s="5"/>
      <c r="MLU4" s="5"/>
      <c r="MLV4" s="5"/>
      <c r="MLW4" s="5"/>
      <c r="MLX4" s="5"/>
      <c r="MLY4" s="5"/>
      <c r="MLZ4" s="5"/>
      <c r="MMA4" s="5"/>
      <c r="MMB4" s="5"/>
      <c r="MMC4" s="5"/>
      <c r="MMD4" s="5"/>
      <c r="MME4" s="5"/>
      <c r="MMF4" s="5"/>
      <c r="MMG4" s="5"/>
      <c r="MMH4" s="5"/>
      <c r="MMI4" s="5"/>
      <c r="MMJ4" s="5"/>
      <c r="MMK4" s="5"/>
      <c r="MML4" s="5"/>
      <c r="MMM4" s="5"/>
      <c r="MMN4" s="5"/>
      <c r="MMO4" s="5"/>
      <c r="MMP4" s="5"/>
      <c r="MMQ4" s="5"/>
      <c r="MMR4" s="5"/>
      <c r="MMS4" s="5"/>
      <c r="MMT4" s="5"/>
      <c r="MMU4" s="5"/>
      <c r="MMV4" s="5"/>
      <c r="MMW4" s="5"/>
      <c r="MMX4" s="5"/>
      <c r="MMY4" s="5"/>
      <c r="MMZ4" s="5"/>
      <c r="MNA4" s="5"/>
      <c r="MNB4" s="5"/>
      <c r="MNC4" s="5"/>
      <c r="MND4" s="5"/>
      <c r="MNE4" s="5"/>
      <c r="MNF4" s="5"/>
      <c r="MNG4" s="5"/>
      <c r="MNH4" s="5"/>
      <c r="MNI4" s="5"/>
      <c r="MNJ4" s="5"/>
      <c r="MNK4" s="5"/>
      <c r="MNL4" s="5"/>
      <c r="MNM4" s="5"/>
      <c r="MNN4" s="5"/>
      <c r="MNO4" s="5"/>
      <c r="MNP4" s="5"/>
      <c r="MNQ4" s="5"/>
      <c r="MNR4" s="5"/>
      <c r="MNS4" s="5"/>
      <c r="MNT4" s="5"/>
      <c r="MNU4" s="5"/>
      <c r="MNV4" s="5"/>
      <c r="MNW4" s="5"/>
      <c r="MNX4" s="5"/>
      <c r="MNY4" s="5"/>
      <c r="MNZ4" s="5"/>
      <c r="MOA4" s="5"/>
      <c r="MOB4" s="5"/>
      <c r="MOC4" s="5"/>
      <c r="MOD4" s="5"/>
      <c r="MOE4" s="5"/>
      <c r="MOF4" s="5"/>
      <c r="MOG4" s="5"/>
      <c r="MOH4" s="5"/>
      <c r="MOI4" s="5"/>
      <c r="MOJ4" s="5"/>
      <c r="MOK4" s="5"/>
      <c r="MOL4" s="5"/>
      <c r="MOM4" s="5"/>
      <c r="MON4" s="5"/>
      <c r="MOO4" s="5"/>
      <c r="MOP4" s="5"/>
      <c r="MOQ4" s="5"/>
      <c r="MOR4" s="5"/>
      <c r="MOS4" s="5"/>
      <c r="MOT4" s="5"/>
      <c r="MOU4" s="5"/>
      <c r="MOV4" s="5"/>
      <c r="MOW4" s="5"/>
      <c r="MOX4" s="5"/>
      <c r="MOY4" s="5"/>
      <c r="MOZ4" s="5"/>
      <c r="MPA4" s="5"/>
      <c r="MPB4" s="5"/>
      <c r="MPC4" s="5"/>
      <c r="MPD4" s="5"/>
      <c r="MPE4" s="5"/>
      <c r="MPF4" s="5"/>
      <c r="MPG4" s="5"/>
      <c r="MPH4" s="5"/>
      <c r="MPI4" s="5"/>
      <c r="MPJ4" s="5"/>
      <c r="MPK4" s="5"/>
      <c r="MPL4" s="5"/>
      <c r="MPM4" s="5"/>
      <c r="MPN4" s="5"/>
      <c r="MPO4" s="5"/>
      <c r="MPP4" s="5"/>
      <c r="MPQ4" s="5"/>
      <c r="MPR4" s="5"/>
      <c r="MPS4" s="5"/>
      <c r="MPT4" s="5"/>
      <c r="MPU4" s="5"/>
      <c r="MPV4" s="5"/>
      <c r="MPW4" s="5"/>
      <c r="MPX4" s="5"/>
      <c r="MPY4" s="5"/>
      <c r="MPZ4" s="5"/>
      <c r="MQA4" s="5"/>
      <c r="MQB4" s="5"/>
      <c r="MQC4" s="5"/>
      <c r="MQD4" s="5"/>
      <c r="MQE4" s="5"/>
      <c r="MQF4" s="5"/>
      <c r="MQG4" s="5"/>
      <c r="MQH4" s="5"/>
      <c r="MQI4" s="5"/>
      <c r="MQJ4" s="5"/>
      <c r="MQK4" s="5"/>
      <c r="MQL4" s="5"/>
      <c r="MQM4" s="5"/>
      <c r="MQN4" s="5"/>
      <c r="MQO4" s="5"/>
      <c r="MQP4" s="5"/>
      <c r="MQQ4" s="5"/>
      <c r="MQR4" s="5"/>
      <c r="MQS4" s="5"/>
      <c r="MQT4" s="5"/>
      <c r="MQU4" s="5"/>
      <c r="MQV4" s="5"/>
      <c r="MQW4" s="5"/>
      <c r="MQX4" s="5"/>
      <c r="MQY4" s="5"/>
      <c r="MQZ4" s="5"/>
      <c r="MRA4" s="5"/>
      <c r="MRB4" s="5"/>
      <c r="MRC4" s="5"/>
      <c r="MRD4" s="5"/>
      <c r="MRE4" s="5"/>
      <c r="MRF4" s="5"/>
      <c r="MRG4" s="5"/>
      <c r="MRH4" s="5"/>
      <c r="MRI4" s="5"/>
      <c r="MRJ4" s="5"/>
      <c r="MRK4" s="5"/>
      <c r="MRL4" s="5"/>
      <c r="MRM4" s="5"/>
      <c r="MRN4" s="5"/>
      <c r="MRO4" s="5"/>
      <c r="MRP4" s="5"/>
      <c r="MRQ4" s="5"/>
      <c r="MRR4" s="5"/>
      <c r="MRS4" s="5"/>
      <c r="MRT4" s="5"/>
      <c r="MRU4" s="5"/>
      <c r="MRV4" s="5"/>
      <c r="MRW4" s="5"/>
      <c r="MRX4" s="5"/>
      <c r="MRY4" s="5"/>
      <c r="MRZ4" s="5"/>
      <c r="MSA4" s="5"/>
      <c r="MSB4" s="5"/>
      <c r="MSC4" s="5"/>
      <c r="MSD4" s="5"/>
      <c r="MSE4" s="5"/>
      <c r="MSF4" s="5"/>
      <c r="MSG4" s="5"/>
      <c r="MSH4" s="5"/>
      <c r="MSI4" s="5"/>
      <c r="MSJ4" s="5"/>
      <c r="MSK4" s="5"/>
      <c r="MSL4" s="5"/>
      <c r="MSM4" s="5"/>
      <c r="MSN4" s="5"/>
      <c r="MSO4" s="5"/>
      <c r="MSP4" s="5"/>
      <c r="MSQ4" s="5"/>
      <c r="MSR4" s="5"/>
      <c r="MSS4" s="5"/>
      <c r="MST4" s="5"/>
      <c r="MSU4" s="5"/>
      <c r="MSV4" s="5"/>
      <c r="MSW4" s="5"/>
      <c r="MSX4" s="5"/>
      <c r="MSY4" s="5"/>
      <c r="MSZ4" s="5"/>
      <c r="MTA4" s="5"/>
      <c r="MTB4" s="5"/>
      <c r="MTC4" s="5"/>
      <c r="MTD4" s="5"/>
      <c r="MTE4" s="5"/>
      <c r="MTF4" s="5"/>
      <c r="MTG4" s="5"/>
      <c r="MTH4" s="5"/>
      <c r="MTI4" s="5"/>
      <c r="MTJ4" s="5"/>
      <c r="MTK4" s="5"/>
      <c r="MTL4" s="5"/>
      <c r="MTM4" s="5"/>
      <c r="MTN4" s="5"/>
      <c r="MTO4" s="5"/>
      <c r="MTP4" s="5"/>
      <c r="MTQ4" s="5"/>
      <c r="MTR4" s="5"/>
      <c r="MTS4" s="5"/>
      <c r="MTT4" s="5"/>
      <c r="MTU4" s="5"/>
      <c r="MTV4" s="5"/>
      <c r="MTW4" s="5"/>
      <c r="MTX4" s="5"/>
      <c r="MTY4" s="5"/>
      <c r="MTZ4" s="5"/>
      <c r="MUA4" s="5"/>
      <c r="MUB4" s="5"/>
      <c r="MUC4" s="5"/>
      <c r="MUD4" s="5"/>
      <c r="MUE4" s="5"/>
      <c r="MUF4" s="5"/>
      <c r="MUG4" s="5"/>
      <c r="MUH4" s="5"/>
      <c r="MUI4" s="5"/>
      <c r="MUJ4" s="5"/>
      <c r="MUK4" s="5"/>
      <c r="MUL4" s="5"/>
      <c r="MUM4" s="5"/>
      <c r="MUN4" s="5"/>
      <c r="MUO4" s="5"/>
      <c r="MUP4" s="5"/>
      <c r="MUQ4" s="5"/>
      <c r="MUR4" s="5"/>
      <c r="MUS4" s="5"/>
      <c r="MUT4" s="5"/>
      <c r="MUU4" s="5"/>
      <c r="MUV4" s="5"/>
      <c r="MUW4" s="5"/>
      <c r="MUX4" s="5"/>
      <c r="MUY4" s="5"/>
      <c r="MUZ4" s="5"/>
      <c r="MVA4" s="5"/>
      <c r="MVB4" s="5"/>
      <c r="MVC4" s="5"/>
      <c r="MVD4" s="5"/>
      <c r="MVE4" s="5"/>
      <c r="MVF4" s="5"/>
      <c r="MVG4" s="5"/>
      <c r="MVH4" s="5"/>
      <c r="MVI4" s="5"/>
      <c r="MVJ4" s="5"/>
      <c r="MVK4" s="5"/>
      <c r="MVL4" s="5"/>
      <c r="MVM4" s="5"/>
      <c r="MVN4" s="5"/>
      <c r="MVO4" s="5"/>
      <c r="MVP4" s="5"/>
      <c r="MVQ4" s="5"/>
      <c r="MVR4" s="5"/>
      <c r="MVS4" s="5"/>
      <c r="MVT4" s="5"/>
      <c r="MVU4" s="5"/>
      <c r="MVV4" s="5"/>
      <c r="MVW4" s="5"/>
      <c r="MVX4" s="5"/>
      <c r="MVY4" s="5"/>
      <c r="MVZ4" s="5"/>
      <c r="MWA4" s="5"/>
      <c r="MWB4" s="5"/>
      <c r="MWC4" s="5"/>
      <c r="MWD4" s="5"/>
      <c r="MWE4" s="5"/>
      <c r="MWF4" s="5"/>
      <c r="MWG4" s="5"/>
      <c r="MWH4" s="5"/>
      <c r="MWI4" s="5"/>
      <c r="MWJ4" s="5"/>
      <c r="MWK4" s="5"/>
      <c r="MWL4" s="5"/>
      <c r="MWM4" s="5"/>
      <c r="MWN4" s="5"/>
      <c r="MWO4" s="5"/>
      <c r="MWP4" s="5"/>
      <c r="MWQ4" s="5"/>
      <c r="MWR4" s="5"/>
      <c r="MWS4" s="5"/>
      <c r="MWT4" s="5"/>
      <c r="MWU4" s="5"/>
      <c r="MWV4" s="5"/>
      <c r="MWW4" s="5"/>
      <c r="MWX4" s="5"/>
      <c r="MWY4" s="5"/>
      <c r="MWZ4" s="5"/>
      <c r="MXA4" s="5"/>
      <c r="MXB4" s="5"/>
      <c r="MXC4" s="5"/>
      <c r="MXD4" s="5"/>
      <c r="MXE4" s="5"/>
      <c r="MXF4" s="5"/>
      <c r="MXG4" s="5"/>
      <c r="MXH4" s="5"/>
      <c r="MXI4" s="5"/>
      <c r="MXJ4" s="5"/>
      <c r="MXK4" s="5"/>
      <c r="MXL4" s="5"/>
      <c r="MXM4" s="5"/>
      <c r="MXN4" s="5"/>
      <c r="MXO4" s="5"/>
      <c r="MXP4" s="5"/>
      <c r="MXQ4" s="5"/>
      <c r="MXR4" s="5"/>
      <c r="MXS4" s="5"/>
      <c r="MXT4" s="5"/>
      <c r="MXU4" s="5"/>
      <c r="MXV4" s="5"/>
      <c r="MXW4" s="5"/>
      <c r="MXX4" s="5"/>
      <c r="MXY4" s="5"/>
      <c r="MXZ4" s="5"/>
      <c r="MYA4" s="5"/>
      <c r="MYB4" s="5"/>
      <c r="MYC4" s="5"/>
      <c r="MYD4" s="5"/>
      <c r="MYE4" s="5"/>
      <c r="MYF4" s="5"/>
      <c r="MYG4" s="5"/>
      <c r="MYH4" s="5"/>
      <c r="MYI4" s="5"/>
      <c r="MYJ4" s="5"/>
      <c r="MYK4" s="5"/>
      <c r="MYL4" s="5"/>
      <c r="MYM4" s="5"/>
      <c r="MYN4" s="5"/>
      <c r="MYO4" s="5"/>
      <c r="MYP4" s="5"/>
      <c r="MYQ4" s="5"/>
      <c r="MYR4" s="5"/>
      <c r="MYS4" s="5"/>
      <c r="MYT4" s="5"/>
      <c r="MYU4" s="5"/>
      <c r="MYV4" s="5"/>
      <c r="MYW4" s="5"/>
      <c r="MYX4" s="5"/>
      <c r="MYY4" s="5"/>
      <c r="MYZ4" s="5"/>
      <c r="MZA4" s="5"/>
      <c r="MZB4" s="5"/>
      <c r="MZC4" s="5"/>
      <c r="MZD4" s="5"/>
      <c r="MZE4" s="5"/>
      <c r="MZF4" s="5"/>
      <c r="MZG4" s="5"/>
      <c r="MZH4" s="5"/>
      <c r="MZI4" s="5"/>
      <c r="MZJ4" s="5"/>
      <c r="MZK4" s="5"/>
      <c r="MZL4" s="5"/>
      <c r="MZM4" s="5"/>
      <c r="MZN4" s="5"/>
      <c r="MZO4" s="5"/>
      <c r="MZP4" s="5"/>
      <c r="MZQ4" s="5"/>
      <c r="MZR4" s="5"/>
      <c r="MZS4" s="5"/>
      <c r="MZT4" s="5"/>
      <c r="MZU4" s="5"/>
      <c r="MZV4" s="5"/>
      <c r="MZW4" s="5"/>
      <c r="MZX4" s="5"/>
      <c r="MZY4" s="5"/>
      <c r="MZZ4" s="5"/>
      <c r="NAA4" s="5"/>
      <c r="NAB4" s="5"/>
      <c r="NAC4" s="5"/>
      <c r="NAD4" s="5"/>
      <c r="NAE4" s="5"/>
      <c r="NAF4" s="5"/>
      <c r="NAG4" s="5"/>
      <c r="NAH4" s="5"/>
      <c r="NAI4" s="5"/>
      <c r="NAJ4" s="5"/>
      <c r="NAK4" s="5"/>
      <c r="NAL4" s="5"/>
      <c r="NAM4" s="5"/>
      <c r="NAN4" s="5"/>
      <c r="NAO4" s="5"/>
      <c r="NAP4" s="5"/>
      <c r="NAQ4" s="5"/>
      <c r="NAR4" s="5"/>
      <c r="NAS4" s="5"/>
      <c r="NAT4" s="5"/>
      <c r="NAU4" s="5"/>
      <c r="NAV4" s="5"/>
      <c r="NAW4" s="5"/>
      <c r="NAX4" s="5"/>
      <c r="NAY4" s="5"/>
      <c r="NAZ4" s="5"/>
      <c r="NBA4" s="5"/>
      <c r="NBB4" s="5"/>
      <c r="NBC4" s="5"/>
      <c r="NBD4" s="5"/>
      <c r="NBE4" s="5"/>
      <c r="NBF4" s="5"/>
      <c r="NBG4" s="5"/>
      <c r="NBH4" s="5"/>
      <c r="NBI4" s="5"/>
      <c r="NBJ4" s="5"/>
      <c r="NBK4" s="5"/>
      <c r="NBL4" s="5"/>
      <c r="NBM4" s="5"/>
      <c r="NBN4" s="5"/>
      <c r="NBO4" s="5"/>
      <c r="NBP4" s="5"/>
      <c r="NBQ4" s="5"/>
      <c r="NBR4" s="5"/>
      <c r="NBS4" s="5"/>
      <c r="NBT4" s="5"/>
      <c r="NBU4" s="5"/>
      <c r="NBV4" s="5"/>
      <c r="NBW4" s="5"/>
      <c r="NBX4" s="5"/>
      <c r="NBY4" s="5"/>
      <c r="NBZ4" s="5"/>
      <c r="NCA4" s="5"/>
      <c r="NCB4" s="5"/>
      <c r="NCC4" s="5"/>
      <c r="NCD4" s="5"/>
      <c r="NCE4" s="5"/>
      <c r="NCF4" s="5"/>
      <c r="NCG4" s="5"/>
      <c r="NCH4" s="5"/>
      <c r="NCI4" s="5"/>
      <c r="NCJ4" s="5"/>
      <c r="NCK4" s="5"/>
      <c r="NCL4" s="5"/>
      <c r="NCM4" s="5"/>
      <c r="NCN4" s="5"/>
      <c r="NCO4" s="5"/>
      <c r="NCP4" s="5"/>
      <c r="NCQ4" s="5"/>
      <c r="NCR4" s="5"/>
      <c r="NCS4" s="5"/>
      <c r="NCT4" s="5"/>
      <c r="NCU4" s="5"/>
      <c r="NCV4" s="5"/>
      <c r="NCW4" s="5"/>
      <c r="NCX4" s="5"/>
      <c r="NCY4" s="5"/>
      <c r="NCZ4" s="5"/>
      <c r="NDA4" s="5"/>
      <c r="NDB4" s="5"/>
      <c r="NDC4" s="5"/>
      <c r="NDD4" s="5"/>
      <c r="NDE4" s="5"/>
      <c r="NDF4" s="5"/>
      <c r="NDG4" s="5"/>
      <c r="NDH4" s="5"/>
      <c r="NDI4" s="5"/>
      <c r="NDJ4" s="5"/>
      <c r="NDK4" s="5"/>
      <c r="NDL4" s="5"/>
      <c r="NDM4" s="5"/>
      <c r="NDN4" s="5"/>
      <c r="NDO4" s="5"/>
      <c r="NDP4" s="5"/>
      <c r="NDQ4" s="5"/>
      <c r="NDR4" s="5"/>
      <c r="NDS4" s="5"/>
      <c r="NDT4" s="5"/>
      <c r="NDU4" s="5"/>
      <c r="NDV4" s="5"/>
      <c r="NDW4" s="5"/>
      <c r="NDX4" s="5"/>
      <c r="NDY4" s="5"/>
      <c r="NDZ4" s="5"/>
      <c r="NEA4" s="5"/>
      <c r="NEB4" s="5"/>
      <c r="NEC4" s="5"/>
      <c r="NED4" s="5"/>
      <c r="NEE4" s="5"/>
      <c r="NEF4" s="5"/>
      <c r="NEG4" s="5"/>
      <c r="NEH4" s="5"/>
      <c r="NEI4" s="5"/>
      <c r="NEJ4" s="5"/>
      <c r="NEK4" s="5"/>
      <c r="NEL4" s="5"/>
      <c r="NEM4" s="5"/>
      <c r="NEN4" s="5"/>
      <c r="NEO4" s="5"/>
      <c r="NEP4" s="5"/>
      <c r="NEQ4" s="5"/>
      <c r="NER4" s="5"/>
      <c r="NES4" s="5"/>
      <c r="NET4" s="5"/>
      <c r="NEU4" s="5"/>
      <c r="NEV4" s="5"/>
      <c r="NEW4" s="5"/>
      <c r="NEX4" s="5"/>
      <c r="NEY4" s="5"/>
      <c r="NEZ4" s="5"/>
      <c r="NFA4" s="5"/>
      <c r="NFB4" s="5"/>
      <c r="NFC4" s="5"/>
      <c r="NFD4" s="5"/>
      <c r="NFE4" s="5"/>
      <c r="NFF4" s="5"/>
      <c r="NFG4" s="5"/>
      <c r="NFH4" s="5"/>
      <c r="NFI4" s="5"/>
      <c r="NFJ4" s="5"/>
      <c r="NFK4" s="5"/>
      <c r="NFL4" s="5"/>
      <c r="NFM4" s="5"/>
      <c r="NFN4" s="5"/>
      <c r="NFO4" s="5"/>
      <c r="NFP4" s="5"/>
      <c r="NFQ4" s="5"/>
      <c r="NFR4" s="5"/>
      <c r="NFS4" s="5"/>
      <c r="NFT4" s="5"/>
      <c r="NFU4" s="5"/>
      <c r="NFV4" s="5"/>
      <c r="NFW4" s="5"/>
      <c r="NFX4" s="5"/>
      <c r="NFY4" s="5"/>
      <c r="NFZ4" s="5"/>
      <c r="NGA4" s="5"/>
      <c r="NGB4" s="5"/>
      <c r="NGC4" s="5"/>
      <c r="NGD4" s="5"/>
      <c r="NGE4" s="5"/>
      <c r="NGF4" s="5"/>
      <c r="NGG4" s="5"/>
      <c r="NGH4" s="5"/>
      <c r="NGI4" s="5"/>
      <c r="NGJ4" s="5"/>
      <c r="NGK4" s="5"/>
      <c r="NGL4" s="5"/>
      <c r="NGM4" s="5"/>
      <c r="NGN4" s="5"/>
      <c r="NGO4" s="5"/>
      <c r="NGP4" s="5"/>
      <c r="NGQ4" s="5"/>
      <c r="NGR4" s="5"/>
      <c r="NGS4" s="5"/>
      <c r="NGT4" s="5"/>
      <c r="NGU4" s="5"/>
      <c r="NGV4" s="5"/>
      <c r="NGW4" s="5"/>
      <c r="NGX4" s="5"/>
      <c r="NGY4" s="5"/>
      <c r="NGZ4" s="5"/>
      <c r="NHA4" s="5"/>
      <c r="NHB4" s="5"/>
      <c r="NHC4" s="5"/>
      <c r="NHD4" s="5"/>
      <c r="NHE4" s="5"/>
      <c r="NHF4" s="5"/>
      <c r="NHG4" s="5"/>
      <c r="NHH4" s="5"/>
      <c r="NHI4" s="5"/>
      <c r="NHJ4" s="5"/>
      <c r="NHK4" s="5"/>
      <c r="NHL4" s="5"/>
      <c r="NHM4" s="5"/>
      <c r="NHN4" s="5"/>
      <c r="NHO4" s="5"/>
      <c r="NHP4" s="5"/>
      <c r="NHQ4" s="5"/>
      <c r="NHR4" s="5"/>
      <c r="NHS4" s="5"/>
      <c r="NHT4" s="5"/>
      <c r="NHU4" s="5"/>
      <c r="NHV4" s="5"/>
      <c r="NHW4" s="5"/>
      <c r="NHX4" s="5"/>
      <c r="NHY4" s="5"/>
      <c r="NHZ4" s="5"/>
      <c r="NIA4" s="5"/>
      <c r="NIB4" s="5"/>
      <c r="NIC4" s="5"/>
      <c r="NID4" s="5"/>
      <c r="NIE4" s="5"/>
      <c r="NIF4" s="5"/>
      <c r="NIG4" s="5"/>
      <c r="NIH4" s="5"/>
      <c r="NII4" s="5"/>
      <c r="NIJ4" s="5"/>
      <c r="NIK4" s="5"/>
      <c r="NIL4" s="5"/>
      <c r="NIM4" s="5"/>
      <c r="NIN4" s="5"/>
      <c r="NIO4" s="5"/>
      <c r="NIP4" s="5"/>
      <c r="NIQ4" s="5"/>
      <c r="NIR4" s="5"/>
      <c r="NIS4" s="5"/>
      <c r="NIT4" s="5"/>
      <c r="NIU4" s="5"/>
      <c r="NIV4" s="5"/>
      <c r="NIW4" s="5"/>
      <c r="NIX4" s="5"/>
      <c r="NIY4" s="5"/>
      <c r="NIZ4" s="5"/>
      <c r="NJA4" s="5"/>
      <c r="NJB4" s="5"/>
      <c r="NJC4" s="5"/>
      <c r="NJD4" s="5"/>
      <c r="NJE4" s="5"/>
      <c r="NJF4" s="5"/>
      <c r="NJG4" s="5"/>
      <c r="NJH4" s="5"/>
      <c r="NJI4" s="5"/>
      <c r="NJJ4" s="5"/>
      <c r="NJK4" s="5"/>
      <c r="NJL4" s="5"/>
      <c r="NJM4" s="5"/>
      <c r="NJN4" s="5"/>
      <c r="NJO4" s="5"/>
      <c r="NJP4" s="5"/>
      <c r="NJQ4" s="5"/>
      <c r="NJR4" s="5"/>
      <c r="NJS4" s="5"/>
      <c r="NJT4" s="5"/>
      <c r="NJU4" s="5"/>
      <c r="NJV4" s="5"/>
      <c r="NJW4" s="5"/>
      <c r="NJX4" s="5"/>
      <c r="NJY4" s="5"/>
      <c r="NJZ4" s="5"/>
      <c r="NKA4" s="5"/>
      <c r="NKB4" s="5"/>
      <c r="NKC4" s="5"/>
      <c r="NKD4" s="5"/>
      <c r="NKE4" s="5"/>
      <c r="NKF4" s="5"/>
      <c r="NKG4" s="5"/>
      <c r="NKH4" s="5"/>
      <c r="NKI4" s="5"/>
      <c r="NKJ4" s="5"/>
      <c r="NKK4" s="5"/>
      <c r="NKL4" s="5"/>
      <c r="NKM4" s="5"/>
      <c r="NKN4" s="5"/>
      <c r="NKO4" s="5"/>
      <c r="NKP4" s="5"/>
      <c r="NKQ4" s="5"/>
      <c r="NKR4" s="5"/>
      <c r="NKS4" s="5"/>
      <c r="NKT4" s="5"/>
      <c r="NKU4" s="5"/>
      <c r="NKV4" s="5"/>
      <c r="NKW4" s="5"/>
      <c r="NKX4" s="5"/>
      <c r="NKY4" s="5"/>
      <c r="NKZ4" s="5"/>
      <c r="NLA4" s="5"/>
      <c r="NLB4" s="5"/>
      <c r="NLC4" s="5"/>
      <c r="NLD4" s="5"/>
      <c r="NLE4" s="5"/>
      <c r="NLF4" s="5"/>
      <c r="NLG4" s="5"/>
      <c r="NLH4" s="5"/>
      <c r="NLI4" s="5"/>
      <c r="NLJ4" s="5"/>
      <c r="NLK4" s="5"/>
      <c r="NLL4" s="5"/>
      <c r="NLM4" s="5"/>
      <c r="NLN4" s="5"/>
      <c r="NLO4" s="5"/>
      <c r="NLP4" s="5"/>
      <c r="NLQ4" s="5"/>
      <c r="NLR4" s="5"/>
      <c r="NLS4" s="5"/>
      <c r="NLT4" s="5"/>
      <c r="NLU4" s="5"/>
      <c r="NLV4" s="5"/>
      <c r="NLW4" s="5"/>
      <c r="NLX4" s="5"/>
      <c r="NLY4" s="5"/>
      <c r="NLZ4" s="5"/>
      <c r="NMA4" s="5"/>
      <c r="NMB4" s="5"/>
      <c r="NMC4" s="5"/>
      <c r="NMD4" s="5"/>
      <c r="NME4" s="5"/>
      <c r="NMF4" s="5"/>
      <c r="NMG4" s="5"/>
      <c r="NMH4" s="5"/>
      <c r="NMI4" s="5"/>
      <c r="NMJ4" s="5"/>
      <c r="NMK4" s="5"/>
      <c r="NML4" s="5"/>
      <c r="NMM4" s="5"/>
      <c r="NMN4" s="5"/>
      <c r="NMO4" s="5"/>
      <c r="NMP4" s="5"/>
      <c r="NMQ4" s="5"/>
      <c r="NMR4" s="5"/>
      <c r="NMS4" s="5"/>
      <c r="NMT4" s="5"/>
      <c r="NMU4" s="5"/>
      <c r="NMV4" s="5"/>
      <c r="NMW4" s="5"/>
      <c r="NMX4" s="5"/>
      <c r="NMY4" s="5"/>
      <c r="NMZ4" s="5"/>
      <c r="NNA4" s="5"/>
      <c r="NNB4" s="5"/>
      <c r="NNC4" s="5"/>
      <c r="NND4" s="5"/>
      <c r="NNE4" s="5"/>
      <c r="NNF4" s="5"/>
      <c r="NNG4" s="5"/>
      <c r="NNH4" s="5"/>
      <c r="NNI4" s="5"/>
      <c r="NNJ4" s="5"/>
      <c r="NNK4" s="5"/>
      <c r="NNL4" s="5"/>
      <c r="NNM4" s="5"/>
      <c r="NNN4" s="5"/>
      <c r="NNO4" s="5"/>
      <c r="NNP4" s="5"/>
      <c r="NNQ4" s="5"/>
      <c r="NNR4" s="5"/>
      <c r="NNS4" s="5"/>
      <c r="NNT4" s="5"/>
      <c r="NNU4" s="5"/>
      <c r="NNV4" s="5"/>
      <c r="NNW4" s="5"/>
      <c r="NNX4" s="5"/>
      <c r="NNY4" s="5"/>
      <c r="NNZ4" s="5"/>
      <c r="NOA4" s="5"/>
      <c r="NOB4" s="5"/>
      <c r="NOC4" s="5"/>
      <c r="NOD4" s="5"/>
      <c r="NOE4" s="5"/>
      <c r="NOF4" s="5"/>
      <c r="NOG4" s="5"/>
      <c r="NOH4" s="5"/>
      <c r="NOI4" s="5"/>
      <c r="NOJ4" s="5"/>
      <c r="NOK4" s="5"/>
      <c r="NOL4" s="5"/>
      <c r="NOM4" s="5"/>
      <c r="NON4" s="5"/>
      <c r="NOO4" s="5"/>
      <c r="NOP4" s="5"/>
      <c r="NOQ4" s="5"/>
      <c r="NOR4" s="5"/>
      <c r="NOS4" s="5"/>
      <c r="NOT4" s="5"/>
      <c r="NOU4" s="5"/>
      <c r="NOV4" s="5"/>
      <c r="NOW4" s="5"/>
      <c r="NOX4" s="5"/>
      <c r="NOY4" s="5"/>
      <c r="NOZ4" s="5"/>
      <c r="NPA4" s="5"/>
      <c r="NPB4" s="5"/>
      <c r="NPC4" s="5"/>
      <c r="NPD4" s="5"/>
      <c r="NPE4" s="5"/>
      <c r="NPF4" s="5"/>
      <c r="NPG4" s="5"/>
      <c r="NPH4" s="5"/>
      <c r="NPI4" s="5"/>
      <c r="NPJ4" s="5"/>
      <c r="NPK4" s="5"/>
      <c r="NPL4" s="5"/>
      <c r="NPM4" s="5"/>
      <c r="NPN4" s="5"/>
      <c r="NPO4" s="5"/>
      <c r="NPP4" s="5"/>
      <c r="NPQ4" s="5"/>
      <c r="NPR4" s="5"/>
      <c r="NPS4" s="5"/>
      <c r="NPT4" s="5"/>
      <c r="NPU4" s="5"/>
      <c r="NPV4" s="5"/>
      <c r="NPW4" s="5"/>
      <c r="NPX4" s="5"/>
      <c r="NPY4" s="5"/>
      <c r="NPZ4" s="5"/>
      <c r="NQA4" s="5"/>
      <c r="NQB4" s="5"/>
      <c r="NQC4" s="5"/>
      <c r="NQD4" s="5"/>
      <c r="NQE4" s="5"/>
      <c r="NQF4" s="5"/>
      <c r="NQG4" s="5"/>
      <c r="NQH4" s="5"/>
      <c r="NQI4" s="5"/>
      <c r="NQJ4" s="5"/>
      <c r="NQK4" s="5"/>
      <c r="NQL4" s="5"/>
      <c r="NQM4" s="5"/>
      <c r="NQN4" s="5"/>
      <c r="NQO4" s="5"/>
      <c r="NQP4" s="5"/>
      <c r="NQQ4" s="5"/>
      <c r="NQR4" s="5"/>
      <c r="NQS4" s="5"/>
      <c r="NQT4" s="5"/>
      <c r="NQU4" s="5"/>
      <c r="NQV4" s="5"/>
      <c r="NQW4" s="5"/>
      <c r="NQX4" s="5"/>
      <c r="NQY4" s="5"/>
      <c r="NQZ4" s="5"/>
      <c r="NRA4" s="5"/>
      <c r="NRB4" s="5"/>
      <c r="NRC4" s="5"/>
      <c r="NRD4" s="5"/>
      <c r="NRE4" s="5"/>
      <c r="NRF4" s="5"/>
      <c r="NRG4" s="5"/>
      <c r="NRH4" s="5"/>
      <c r="NRI4" s="5"/>
      <c r="NRJ4" s="5"/>
      <c r="NRK4" s="5"/>
      <c r="NRL4" s="5"/>
      <c r="NRM4" s="5"/>
      <c r="NRN4" s="5"/>
      <c r="NRO4" s="5"/>
      <c r="NRP4" s="5"/>
      <c r="NRQ4" s="5"/>
      <c r="NRR4" s="5"/>
      <c r="NRS4" s="5"/>
      <c r="NRT4" s="5"/>
      <c r="NRU4" s="5"/>
      <c r="NRV4" s="5"/>
      <c r="NRW4" s="5"/>
      <c r="NRX4" s="5"/>
      <c r="NRY4" s="5"/>
      <c r="NRZ4" s="5"/>
      <c r="NSA4" s="5"/>
      <c r="NSB4" s="5"/>
      <c r="NSC4" s="5"/>
      <c r="NSD4" s="5"/>
      <c r="NSE4" s="5"/>
      <c r="NSF4" s="5"/>
      <c r="NSG4" s="5"/>
      <c r="NSH4" s="5"/>
      <c r="NSI4" s="5"/>
      <c r="NSJ4" s="5"/>
      <c r="NSK4" s="5"/>
      <c r="NSL4" s="5"/>
      <c r="NSM4" s="5"/>
      <c r="NSN4" s="5"/>
      <c r="NSO4" s="5"/>
      <c r="NSP4" s="5"/>
      <c r="NSQ4" s="5"/>
      <c r="NSR4" s="5"/>
      <c r="NSS4" s="5"/>
      <c r="NST4" s="5"/>
      <c r="NSU4" s="5"/>
      <c r="NSV4" s="5"/>
      <c r="NSW4" s="5"/>
      <c r="NSX4" s="5"/>
      <c r="NSY4" s="5"/>
      <c r="NSZ4" s="5"/>
      <c r="NTA4" s="5"/>
      <c r="NTB4" s="5"/>
      <c r="NTC4" s="5"/>
      <c r="NTD4" s="5"/>
      <c r="NTE4" s="5"/>
      <c r="NTF4" s="5"/>
      <c r="NTG4" s="5"/>
      <c r="NTH4" s="5"/>
      <c r="NTI4" s="5"/>
      <c r="NTJ4" s="5"/>
      <c r="NTK4" s="5"/>
      <c r="NTL4" s="5"/>
      <c r="NTM4" s="5"/>
      <c r="NTN4" s="5"/>
      <c r="NTO4" s="5"/>
      <c r="NTP4" s="5"/>
      <c r="NTQ4" s="5"/>
      <c r="NTR4" s="5"/>
      <c r="NTS4" s="5"/>
      <c r="NTT4" s="5"/>
      <c r="NTU4" s="5"/>
      <c r="NTV4" s="5"/>
      <c r="NTW4" s="5"/>
      <c r="NTX4" s="5"/>
      <c r="NTY4" s="5"/>
      <c r="NTZ4" s="5"/>
      <c r="NUA4" s="5"/>
      <c r="NUB4" s="5"/>
      <c r="NUC4" s="5"/>
      <c r="NUD4" s="5"/>
      <c r="NUE4" s="5"/>
      <c r="NUF4" s="5"/>
      <c r="NUG4" s="5"/>
      <c r="NUH4" s="5"/>
      <c r="NUI4" s="5"/>
      <c r="NUJ4" s="5"/>
      <c r="NUK4" s="5"/>
      <c r="NUL4" s="5"/>
      <c r="NUM4" s="5"/>
      <c r="NUN4" s="5"/>
      <c r="NUO4" s="5"/>
      <c r="NUP4" s="5"/>
      <c r="NUQ4" s="5"/>
      <c r="NUR4" s="5"/>
      <c r="NUS4" s="5"/>
      <c r="NUT4" s="5"/>
      <c r="NUU4" s="5"/>
      <c r="NUV4" s="5"/>
      <c r="NUW4" s="5"/>
      <c r="NUX4" s="5"/>
      <c r="NUY4" s="5"/>
      <c r="NUZ4" s="5"/>
      <c r="NVA4" s="5"/>
      <c r="NVB4" s="5"/>
      <c r="NVC4" s="5"/>
      <c r="NVD4" s="5"/>
      <c r="NVE4" s="5"/>
      <c r="NVF4" s="5"/>
      <c r="NVG4" s="5"/>
      <c r="NVH4" s="5"/>
      <c r="NVI4" s="5"/>
      <c r="NVJ4" s="5"/>
      <c r="NVK4" s="5"/>
      <c r="NVL4" s="5"/>
      <c r="NVM4" s="5"/>
      <c r="NVN4" s="5"/>
      <c r="NVO4" s="5"/>
      <c r="NVP4" s="5"/>
      <c r="NVQ4" s="5"/>
      <c r="NVR4" s="5"/>
      <c r="NVS4" s="5"/>
      <c r="NVT4" s="5"/>
      <c r="NVU4" s="5"/>
      <c r="NVV4" s="5"/>
      <c r="NVW4" s="5"/>
      <c r="NVX4" s="5"/>
      <c r="NVY4" s="5"/>
      <c r="NVZ4" s="5"/>
      <c r="NWA4" s="5"/>
      <c r="NWB4" s="5"/>
      <c r="NWC4" s="5"/>
      <c r="NWD4" s="5"/>
      <c r="NWE4" s="5"/>
      <c r="NWF4" s="5"/>
      <c r="NWG4" s="5"/>
      <c r="NWH4" s="5"/>
      <c r="NWI4" s="5"/>
      <c r="NWJ4" s="5"/>
      <c r="NWK4" s="5"/>
      <c r="NWL4" s="5"/>
      <c r="NWM4" s="5"/>
      <c r="NWN4" s="5"/>
      <c r="NWO4" s="5"/>
      <c r="NWP4" s="5"/>
      <c r="NWQ4" s="5"/>
      <c r="NWR4" s="5"/>
      <c r="NWS4" s="5"/>
      <c r="NWT4" s="5"/>
      <c r="NWU4" s="5"/>
      <c r="NWV4" s="5"/>
      <c r="NWW4" s="5"/>
      <c r="NWX4" s="5"/>
      <c r="NWY4" s="5"/>
      <c r="NWZ4" s="5"/>
      <c r="NXA4" s="5"/>
      <c r="NXB4" s="5"/>
      <c r="NXC4" s="5"/>
      <c r="NXD4" s="5"/>
      <c r="NXE4" s="5"/>
      <c r="NXF4" s="5"/>
      <c r="NXG4" s="5"/>
      <c r="NXH4" s="5"/>
      <c r="NXI4" s="5"/>
      <c r="NXJ4" s="5"/>
      <c r="NXK4" s="5"/>
      <c r="NXL4" s="5"/>
      <c r="NXM4" s="5"/>
      <c r="NXN4" s="5"/>
      <c r="NXO4" s="5"/>
      <c r="NXP4" s="5"/>
      <c r="NXQ4" s="5"/>
      <c r="NXR4" s="5"/>
      <c r="NXS4" s="5"/>
      <c r="NXT4" s="5"/>
      <c r="NXU4" s="5"/>
      <c r="NXV4" s="5"/>
      <c r="NXW4" s="5"/>
      <c r="NXX4" s="5"/>
      <c r="NXY4" s="5"/>
      <c r="NXZ4" s="5"/>
      <c r="NYA4" s="5"/>
      <c r="NYB4" s="5"/>
      <c r="NYC4" s="5"/>
      <c r="NYD4" s="5"/>
      <c r="NYE4" s="5"/>
      <c r="NYF4" s="5"/>
      <c r="NYG4" s="5"/>
      <c r="NYH4" s="5"/>
      <c r="NYI4" s="5"/>
      <c r="NYJ4" s="5"/>
      <c r="NYK4" s="5"/>
      <c r="NYL4" s="5"/>
      <c r="NYM4" s="5"/>
      <c r="NYN4" s="5"/>
      <c r="NYO4" s="5"/>
      <c r="NYP4" s="5"/>
      <c r="NYQ4" s="5"/>
      <c r="NYR4" s="5"/>
      <c r="NYS4" s="5"/>
      <c r="NYT4" s="5"/>
      <c r="NYU4" s="5"/>
      <c r="NYV4" s="5"/>
      <c r="NYW4" s="5"/>
      <c r="NYX4" s="5"/>
      <c r="NYY4" s="5"/>
      <c r="NYZ4" s="5"/>
      <c r="NZA4" s="5"/>
      <c r="NZB4" s="5"/>
      <c r="NZC4" s="5"/>
      <c r="NZD4" s="5"/>
      <c r="NZE4" s="5"/>
      <c r="NZF4" s="5"/>
      <c r="NZG4" s="5"/>
      <c r="NZH4" s="5"/>
      <c r="NZI4" s="5"/>
      <c r="NZJ4" s="5"/>
      <c r="NZK4" s="5"/>
      <c r="NZL4" s="5"/>
      <c r="NZM4" s="5"/>
      <c r="NZN4" s="5"/>
      <c r="NZO4" s="5"/>
      <c r="NZP4" s="5"/>
      <c r="NZQ4" s="5"/>
      <c r="NZR4" s="5"/>
      <c r="NZS4" s="5"/>
      <c r="NZT4" s="5"/>
      <c r="NZU4" s="5"/>
      <c r="NZV4" s="5"/>
      <c r="NZW4" s="5"/>
      <c r="NZX4" s="5"/>
      <c r="NZY4" s="5"/>
      <c r="NZZ4" s="5"/>
      <c r="OAA4" s="5"/>
      <c r="OAB4" s="5"/>
      <c r="OAC4" s="5"/>
      <c r="OAD4" s="5"/>
      <c r="OAE4" s="5"/>
      <c r="OAF4" s="5"/>
      <c r="OAG4" s="5"/>
      <c r="OAH4" s="5"/>
      <c r="OAI4" s="5"/>
      <c r="OAJ4" s="5"/>
      <c r="OAK4" s="5"/>
      <c r="OAL4" s="5"/>
      <c r="OAM4" s="5"/>
      <c r="OAN4" s="5"/>
      <c r="OAO4" s="5"/>
      <c r="OAP4" s="5"/>
      <c r="OAQ4" s="5"/>
      <c r="OAR4" s="5"/>
      <c r="OAS4" s="5"/>
      <c r="OAT4" s="5"/>
      <c r="OAU4" s="5"/>
      <c r="OAV4" s="5"/>
      <c r="OAW4" s="5"/>
      <c r="OAX4" s="5"/>
      <c r="OAY4" s="5"/>
      <c r="OAZ4" s="5"/>
      <c r="OBA4" s="5"/>
      <c r="OBB4" s="5"/>
      <c r="OBC4" s="5"/>
      <c r="OBD4" s="5"/>
      <c r="OBE4" s="5"/>
      <c r="OBF4" s="5"/>
      <c r="OBG4" s="5"/>
      <c r="OBH4" s="5"/>
      <c r="OBI4" s="5"/>
      <c r="OBJ4" s="5"/>
      <c r="OBK4" s="5"/>
      <c r="OBL4" s="5"/>
      <c r="OBM4" s="5"/>
      <c r="OBN4" s="5"/>
      <c r="OBO4" s="5"/>
      <c r="OBP4" s="5"/>
      <c r="OBQ4" s="5"/>
      <c r="OBR4" s="5"/>
      <c r="OBS4" s="5"/>
      <c r="OBT4" s="5"/>
      <c r="OBU4" s="5"/>
      <c r="OBV4" s="5"/>
      <c r="OBW4" s="5"/>
      <c r="OBX4" s="5"/>
      <c r="OBY4" s="5"/>
      <c r="OBZ4" s="5"/>
      <c r="OCA4" s="5"/>
      <c r="OCB4" s="5"/>
      <c r="OCC4" s="5"/>
      <c r="OCD4" s="5"/>
      <c r="OCE4" s="5"/>
      <c r="OCF4" s="5"/>
      <c r="OCG4" s="5"/>
      <c r="OCH4" s="5"/>
      <c r="OCI4" s="5"/>
      <c r="OCJ4" s="5"/>
      <c r="OCK4" s="5"/>
      <c r="OCL4" s="5"/>
      <c r="OCM4" s="5"/>
      <c r="OCN4" s="5"/>
      <c r="OCO4" s="5"/>
      <c r="OCP4" s="5"/>
      <c r="OCQ4" s="5"/>
      <c r="OCR4" s="5"/>
      <c r="OCS4" s="5"/>
      <c r="OCT4" s="5"/>
      <c r="OCU4" s="5"/>
      <c r="OCV4" s="5"/>
      <c r="OCW4" s="5"/>
      <c r="OCX4" s="5"/>
      <c r="OCY4" s="5"/>
      <c r="OCZ4" s="5"/>
      <c r="ODA4" s="5"/>
      <c r="ODB4" s="5"/>
      <c r="ODC4" s="5"/>
      <c r="ODD4" s="5"/>
      <c r="ODE4" s="5"/>
      <c r="ODF4" s="5"/>
      <c r="ODG4" s="5"/>
      <c r="ODH4" s="5"/>
      <c r="ODI4" s="5"/>
      <c r="ODJ4" s="5"/>
      <c r="ODK4" s="5"/>
      <c r="ODL4" s="5"/>
      <c r="ODM4" s="5"/>
      <c r="ODN4" s="5"/>
      <c r="ODO4" s="5"/>
      <c r="ODP4" s="5"/>
      <c r="ODQ4" s="5"/>
      <c r="ODR4" s="5"/>
      <c r="ODS4" s="5"/>
      <c r="ODT4" s="5"/>
      <c r="ODU4" s="5"/>
      <c r="ODV4" s="5"/>
      <c r="ODW4" s="5"/>
      <c r="ODX4" s="5"/>
      <c r="ODY4" s="5"/>
      <c r="ODZ4" s="5"/>
      <c r="OEA4" s="5"/>
      <c r="OEB4" s="5"/>
      <c r="OEC4" s="5"/>
      <c r="OED4" s="5"/>
      <c r="OEE4" s="5"/>
      <c r="OEF4" s="5"/>
      <c r="OEG4" s="5"/>
      <c r="OEH4" s="5"/>
      <c r="OEI4" s="5"/>
      <c r="OEJ4" s="5"/>
      <c r="OEK4" s="5"/>
      <c r="OEL4" s="5"/>
      <c r="OEM4" s="5"/>
      <c r="OEN4" s="5"/>
      <c r="OEO4" s="5"/>
      <c r="OEP4" s="5"/>
      <c r="OEQ4" s="5"/>
      <c r="OER4" s="5"/>
      <c r="OES4" s="5"/>
      <c r="OET4" s="5"/>
      <c r="OEU4" s="5"/>
      <c r="OEV4" s="5"/>
      <c r="OEW4" s="5"/>
      <c r="OEX4" s="5"/>
      <c r="OEY4" s="5"/>
      <c r="OEZ4" s="5"/>
      <c r="OFA4" s="5"/>
      <c r="OFB4" s="5"/>
      <c r="OFC4" s="5"/>
      <c r="OFD4" s="5"/>
      <c r="OFE4" s="5"/>
      <c r="OFF4" s="5"/>
      <c r="OFG4" s="5"/>
      <c r="OFH4" s="5"/>
      <c r="OFI4" s="5"/>
      <c r="OFJ4" s="5"/>
      <c r="OFK4" s="5"/>
      <c r="OFL4" s="5"/>
      <c r="OFM4" s="5"/>
      <c r="OFN4" s="5"/>
      <c r="OFO4" s="5"/>
      <c r="OFP4" s="5"/>
      <c r="OFQ4" s="5"/>
      <c r="OFR4" s="5"/>
      <c r="OFS4" s="5"/>
      <c r="OFT4" s="5"/>
      <c r="OFU4" s="5"/>
      <c r="OFV4" s="5"/>
      <c r="OFW4" s="5"/>
      <c r="OFX4" s="5"/>
      <c r="OFY4" s="5"/>
      <c r="OFZ4" s="5"/>
      <c r="OGA4" s="5"/>
      <c r="OGB4" s="5"/>
      <c r="OGC4" s="5"/>
      <c r="OGD4" s="5"/>
      <c r="OGE4" s="5"/>
      <c r="OGF4" s="5"/>
      <c r="OGG4" s="5"/>
      <c r="OGH4" s="5"/>
      <c r="OGI4" s="5"/>
      <c r="OGJ4" s="5"/>
      <c r="OGK4" s="5"/>
      <c r="OGL4" s="5"/>
      <c r="OGM4" s="5"/>
      <c r="OGN4" s="5"/>
      <c r="OGO4" s="5"/>
      <c r="OGP4" s="5"/>
      <c r="OGQ4" s="5"/>
      <c r="OGR4" s="5"/>
      <c r="OGS4" s="5"/>
      <c r="OGT4" s="5"/>
      <c r="OGU4" s="5"/>
      <c r="OGV4" s="5"/>
      <c r="OGW4" s="5"/>
      <c r="OGX4" s="5"/>
      <c r="OGY4" s="5"/>
      <c r="OGZ4" s="5"/>
      <c r="OHA4" s="5"/>
      <c r="OHB4" s="5"/>
      <c r="OHC4" s="5"/>
      <c r="OHD4" s="5"/>
      <c r="OHE4" s="5"/>
      <c r="OHF4" s="5"/>
      <c r="OHG4" s="5"/>
      <c r="OHH4" s="5"/>
      <c r="OHI4" s="5"/>
      <c r="OHJ4" s="5"/>
      <c r="OHK4" s="5"/>
      <c r="OHL4" s="5"/>
      <c r="OHM4" s="5"/>
      <c r="OHN4" s="5"/>
      <c r="OHO4" s="5"/>
      <c r="OHP4" s="5"/>
      <c r="OHQ4" s="5"/>
      <c r="OHR4" s="5"/>
      <c r="OHS4" s="5"/>
      <c r="OHT4" s="5"/>
      <c r="OHU4" s="5"/>
      <c r="OHV4" s="5"/>
      <c r="OHW4" s="5"/>
      <c r="OHX4" s="5"/>
      <c r="OHY4" s="5"/>
      <c r="OHZ4" s="5"/>
      <c r="OIA4" s="5"/>
      <c r="OIB4" s="5"/>
      <c r="OIC4" s="5"/>
      <c r="OID4" s="5"/>
      <c r="OIE4" s="5"/>
      <c r="OIF4" s="5"/>
      <c r="OIG4" s="5"/>
      <c r="OIH4" s="5"/>
      <c r="OII4" s="5"/>
      <c r="OIJ4" s="5"/>
      <c r="OIK4" s="5"/>
      <c r="OIL4" s="5"/>
      <c r="OIM4" s="5"/>
      <c r="OIN4" s="5"/>
      <c r="OIO4" s="5"/>
      <c r="OIP4" s="5"/>
      <c r="OIQ4" s="5"/>
      <c r="OIR4" s="5"/>
      <c r="OIS4" s="5"/>
      <c r="OIT4" s="5"/>
      <c r="OIU4" s="5"/>
      <c r="OIV4" s="5"/>
      <c r="OIW4" s="5"/>
      <c r="OIX4" s="5"/>
      <c r="OIY4" s="5"/>
      <c r="OIZ4" s="5"/>
      <c r="OJA4" s="5"/>
      <c r="OJB4" s="5"/>
      <c r="OJC4" s="5"/>
      <c r="OJD4" s="5"/>
      <c r="OJE4" s="5"/>
      <c r="OJF4" s="5"/>
      <c r="OJG4" s="5"/>
      <c r="OJH4" s="5"/>
      <c r="OJI4" s="5"/>
      <c r="OJJ4" s="5"/>
      <c r="OJK4" s="5"/>
      <c r="OJL4" s="5"/>
      <c r="OJM4" s="5"/>
      <c r="OJN4" s="5"/>
      <c r="OJO4" s="5"/>
      <c r="OJP4" s="5"/>
      <c r="OJQ4" s="5"/>
      <c r="OJR4" s="5"/>
      <c r="OJS4" s="5"/>
      <c r="OJT4" s="5"/>
      <c r="OJU4" s="5"/>
      <c r="OJV4" s="5"/>
      <c r="OJW4" s="5"/>
      <c r="OJX4" s="5"/>
      <c r="OJY4" s="5"/>
      <c r="OJZ4" s="5"/>
      <c r="OKA4" s="5"/>
      <c r="OKB4" s="5"/>
      <c r="OKC4" s="5"/>
      <c r="OKD4" s="5"/>
      <c r="OKE4" s="5"/>
      <c r="OKF4" s="5"/>
      <c r="OKG4" s="5"/>
      <c r="OKH4" s="5"/>
      <c r="OKI4" s="5"/>
      <c r="OKJ4" s="5"/>
      <c r="OKK4" s="5"/>
      <c r="OKL4" s="5"/>
      <c r="OKM4" s="5"/>
      <c r="OKN4" s="5"/>
      <c r="OKO4" s="5"/>
      <c r="OKP4" s="5"/>
      <c r="OKQ4" s="5"/>
      <c r="OKR4" s="5"/>
      <c r="OKS4" s="5"/>
      <c r="OKT4" s="5"/>
      <c r="OKU4" s="5"/>
      <c r="OKV4" s="5"/>
      <c r="OKW4" s="5"/>
      <c r="OKX4" s="5"/>
      <c r="OKY4" s="5"/>
      <c r="OKZ4" s="5"/>
      <c r="OLA4" s="5"/>
      <c r="OLB4" s="5"/>
      <c r="OLC4" s="5"/>
      <c r="OLD4" s="5"/>
      <c r="OLE4" s="5"/>
      <c r="OLF4" s="5"/>
      <c r="OLG4" s="5"/>
      <c r="OLH4" s="5"/>
      <c r="OLI4" s="5"/>
      <c r="OLJ4" s="5"/>
      <c r="OLK4" s="5"/>
      <c r="OLL4" s="5"/>
      <c r="OLM4" s="5"/>
      <c r="OLN4" s="5"/>
      <c r="OLO4" s="5"/>
      <c r="OLP4" s="5"/>
      <c r="OLQ4" s="5"/>
      <c r="OLR4" s="5"/>
      <c r="OLS4" s="5"/>
      <c r="OLT4" s="5"/>
      <c r="OLU4" s="5"/>
      <c r="OLV4" s="5"/>
      <c r="OLW4" s="5"/>
      <c r="OLX4" s="5"/>
      <c r="OLY4" s="5"/>
      <c r="OLZ4" s="5"/>
      <c r="OMA4" s="5"/>
      <c r="OMB4" s="5"/>
      <c r="OMC4" s="5"/>
      <c r="OMD4" s="5"/>
      <c r="OME4" s="5"/>
      <c r="OMF4" s="5"/>
      <c r="OMG4" s="5"/>
      <c r="OMH4" s="5"/>
      <c r="OMI4" s="5"/>
      <c r="OMJ4" s="5"/>
      <c r="OMK4" s="5"/>
      <c r="OML4" s="5"/>
      <c r="OMM4" s="5"/>
      <c r="OMN4" s="5"/>
      <c r="OMO4" s="5"/>
      <c r="OMP4" s="5"/>
      <c r="OMQ4" s="5"/>
      <c r="OMR4" s="5"/>
      <c r="OMS4" s="5"/>
      <c r="OMT4" s="5"/>
      <c r="OMU4" s="5"/>
      <c r="OMV4" s="5"/>
      <c r="OMW4" s="5"/>
      <c r="OMX4" s="5"/>
      <c r="OMY4" s="5"/>
      <c r="OMZ4" s="5"/>
      <c r="ONA4" s="5"/>
      <c r="ONB4" s="5"/>
      <c r="ONC4" s="5"/>
      <c r="OND4" s="5"/>
      <c r="ONE4" s="5"/>
      <c r="ONF4" s="5"/>
      <c r="ONG4" s="5"/>
      <c r="ONH4" s="5"/>
      <c r="ONI4" s="5"/>
      <c r="ONJ4" s="5"/>
      <c r="ONK4" s="5"/>
      <c r="ONL4" s="5"/>
      <c r="ONM4" s="5"/>
      <c r="ONN4" s="5"/>
      <c r="ONO4" s="5"/>
      <c r="ONP4" s="5"/>
      <c r="ONQ4" s="5"/>
      <c r="ONR4" s="5"/>
      <c r="ONS4" s="5"/>
      <c r="ONT4" s="5"/>
      <c r="ONU4" s="5"/>
      <c r="ONV4" s="5"/>
      <c r="ONW4" s="5"/>
      <c r="ONX4" s="5"/>
      <c r="ONY4" s="5"/>
      <c r="ONZ4" s="5"/>
      <c r="OOA4" s="5"/>
      <c r="OOB4" s="5"/>
      <c r="OOC4" s="5"/>
      <c r="OOD4" s="5"/>
      <c r="OOE4" s="5"/>
      <c r="OOF4" s="5"/>
      <c r="OOG4" s="5"/>
      <c r="OOH4" s="5"/>
      <c r="OOI4" s="5"/>
      <c r="OOJ4" s="5"/>
      <c r="OOK4" s="5"/>
      <c r="OOL4" s="5"/>
      <c r="OOM4" s="5"/>
      <c r="OON4" s="5"/>
      <c r="OOO4" s="5"/>
      <c r="OOP4" s="5"/>
      <c r="OOQ4" s="5"/>
      <c r="OOR4" s="5"/>
      <c r="OOS4" s="5"/>
      <c r="OOT4" s="5"/>
      <c r="OOU4" s="5"/>
      <c r="OOV4" s="5"/>
      <c r="OOW4" s="5"/>
      <c r="OOX4" s="5"/>
      <c r="OOY4" s="5"/>
      <c r="OOZ4" s="5"/>
      <c r="OPA4" s="5"/>
      <c r="OPB4" s="5"/>
      <c r="OPC4" s="5"/>
      <c r="OPD4" s="5"/>
      <c r="OPE4" s="5"/>
      <c r="OPF4" s="5"/>
      <c r="OPG4" s="5"/>
      <c r="OPH4" s="5"/>
      <c r="OPI4" s="5"/>
      <c r="OPJ4" s="5"/>
      <c r="OPK4" s="5"/>
      <c r="OPL4" s="5"/>
      <c r="OPM4" s="5"/>
      <c r="OPN4" s="5"/>
      <c r="OPO4" s="5"/>
      <c r="OPP4" s="5"/>
      <c r="OPQ4" s="5"/>
      <c r="OPR4" s="5"/>
      <c r="OPS4" s="5"/>
      <c r="OPT4" s="5"/>
      <c r="OPU4" s="5"/>
      <c r="OPV4" s="5"/>
      <c r="OPW4" s="5"/>
      <c r="OPX4" s="5"/>
      <c r="OPY4" s="5"/>
      <c r="OPZ4" s="5"/>
      <c r="OQA4" s="5"/>
      <c r="OQB4" s="5"/>
      <c r="OQC4" s="5"/>
      <c r="OQD4" s="5"/>
      <c r="OQE4" s="5"/>
      <c r="OQF4" s="5"/>
      <c r="OQG4" s="5"/>
      <c r="OQH4" s="5"/>
      <c r="OQI4" s="5"/>
      <c r="OQJ4" s="5"/>
      <c r="OQK4" s="5"/>
      <c r="OQL4" s="5"/>
      <c r="OQM4" s="5"/>
      <c r="OQN4" s="5"/>
      <c r="OQO4" s="5"/>
      <c r="OQP4" s="5"/>
      <c r="OQQ4" s="5"/>
      <c r="OQR4" s="5"/>
      <c r="OQS4" s="5"/>
      <c r="OQT4" s="5"/>
      <c r="OQU4" s="5"/>
      <c r="OQV4" s="5"/>
      <c r="OQW4" s="5"/>
      <c r="OQX4" s="5"/>
      <c r="OQY4" s="5"/>
      <c r="OQZ4" s="5"/>
      <c r="ORA4" s="5"/>
      <c r="ORB4" s="5"/>
      <c r="ORC4" s="5"/>
      <c r="ORD4" s="5"/>
      <c r="ORE4" s="5"/>
      <c r="ORF4" s="5"/>
      <c r="ORG4" s="5"/>
      <c r="ORH4" s="5"/>
      <c r="ORI4" s="5"/>
      <c r="ORJ4" s="5"/>
      <c r="ORK4" s="5"/>
      <c r="ORL4" s="5"/>
      <c r="ORM4" s="5"/>
      <c r="ORN4" s="5"/>
      <c r="ORO4" s="5"/>
      <c r="ORP4" s="5"/>
      <c r="ORQ4" s="5"/>
      <c r="ORR4" s="5"/>
      <c r="ORS4" s="5"/>
      <c r="ORT4" s="5"/>
      <c r="ORU4" s="5"/>
      <c r="ORV4" s="5"/>
      <c r="ORW4" s="5"/>
      <c r="ORX4" s="5"/>
      <c r="ORY4" s="5"/>
      <c r="ORZ4" s="5"/>
      <c r="OSA4" s="5"/>
      <c r="OSB4" s="5"/>
      <c r="OSC4" s="5"/>
      <c r="OSD4" s="5"/>
      <c r="OSE4" s="5"/>
      <c r="OSF4" s="5"/>
      <c r="OSG4" s="5"/>
      <c r="OSH4" s="5"/>
      <c r="OSI4" s="5"/>
      <c r="OSJ4" s="5"/>
      <c r="OSK4" s="5"/>
      <c r="OSL4" s="5"/>
      <c r="OSM4" s="5"/>
      <c r="OSN4" s="5"/>
      <c r="OSO4" s="5"/>
      <c r="OSP4" s="5"/>
      <c r="OSQ4" s="5"/>
      <c r="OSR4" s="5"/>
      <c r="OSS4" s="5"/>
      <c r="OST4" s="5"/>
      <c r="OSU4" s="5"/>
      <c r="OSV4" s="5"/>
      <c r="OSW4" s="5"/>
      <c r="OSX4" s="5"/>
      <c r="OSY4" s="5"/>
      <c r="OSZ4" s="5"/>
      <c r="OTA4" s="5"/>
      <c r="OTB4" s="5"/>
      <c r="OTC4" s="5"/>
      <c r="OTD4" s="5"/>
      <c r="OTE4" s="5"/>
      <c r="OTF4" s="5"/>
      <c r="OTG4" s="5"/>
      <c r="OTH4" s="5"/>
      <c r="OTI4" s="5"/>
      <c r="OTJ4" s="5"/>
      <c r="OTK4" s="5"/>
      <c r="OTL4" s="5"/>
      <c r="OTM4" s="5"/>
      <c r="OTN4" s="5"/>
      <c r="OTO4" s="5"/>
      <c r="OTP4" s="5"/>
      <c r="OTQ4" s="5"/>
      <c r="OTR4" s="5"/>
      <c r="OTS4" s="5"/>
      <c r="OTT4" s="5"/>
      <c r="OTU4" s="5"/>
      <c r="OTV4" s="5"/>
      <c r="OTW4" s="5"/>
      <c r="OTX4" s="5"/>
      <c r="OTY4" s="5"/>
      <c r="OTZ4" s="5"/>
      <c r="OUA4" s="5"/>
      <c r="OUB4" s="5"/>
      <c r="OUC4" s="5"/>
      <c r="OUD4" s="5"/>
      <c r="OUE4" s="5"/>
      <c r="OUF4" s="5"/>
      <c r="OUG4" s="5"/>
      <c r="OUH4" s="5"/>
      <c r="OUI4" s="5"/>
      <c r="OUJ4" s="5"/>
      <c r="OUK4" s="5"/>
      <c r="OUL4" s="5"/>
      <c r="OUM4" s="5"/>
      <c r="OUN4" s="5"/>
      <c r="OUO4" s="5"/>
      <c r="OUP4" s="5"/>
      <c r="OUQ4" s="5"/>
      <c r="OUR4" s="5"/>
      <c r="OUS4" s="5"/>
      <c r="OUT4" s="5"/>
      <c r="OUU4" s="5"/>
      <c r="OUV4" s="5"/>
      <c r="OUW4" s="5"/>
      <c r="OUX4" s="5"/>
      <c r="OUY4" s="5"/>
      <c r="OUZ4" s="5"/>
      <c r="OVA4" s="5"/>
      <c r="OVB4" s="5"/>
      <c r="OVC4" s="5"/>
      <c r="OVD4" s="5"/>
      <c r="OVE4" s="5"/>
      <c r="OVF4" s="5"/>
      <c r="OVG4" s="5"/>
      <c r="OVH4" s="5"/>
      <c r="OVI4" s="5"/>
      <c r="OVJ4" s="5"/>
      <c r="OVK4" s="5"/>
      <c r="OVL4" s="5"/>
      <c r="OVM4" s="5"/>
      <c r="OVN4" s="5"/>
      <c r="OVO4" s="5"/>
      <c r="OVP4" s="5"/>
      <c r="OVQ4" s="5"/>
      <c r="OVR4" s="5"/>
      <c r="OVS4" s="5"/>
      <c r="OVT4" s="5"/>
      <c r="OVU4" s="5"/>
      <c r="OVV4" s="5"/>
      <c r="OVW4" s="5"/>
      <c r="OVX4" s="5"/>
      <c r="OVY4" s="5"/>
      <c r="OVZ4" s="5"/>
      <c r="OWA4" s="5"/>
      <c r="OWB4" s="5"/>
      <c r="OWC4" s="5"/>
      <c r="OWD4" s="5"/>
      <c r="OWE4" s="5"/>
      <c r="OWF4" s="5"/>
      <c r="OWG4" s="5"/>
      <c r="OWH4" s="5"/>
      <c r="OWI4" s="5"/>
      <c r="OWJ4" s="5"/>
      <c r="OWK4" s="5"/>
      <c r="OWL4" s="5"/>
      <c r="OWM4" s="5"/>
      <c r="OWN4" s="5"/>
      <c r="OWO4" s="5"/>
      <c r="OWP4" s="5"/>
      <c r="OWQ4" s="5"/>
      <c r="OWR4" s="5"/>
      <c r="OWS4" s="5"/>
      <c r="OWT4" s="5"/>
      <c r="OWU4" s="5"/>
      <c r="OWV4" s="5"/>
      <c r="OWW4" s="5"/>
      <c r="OWX4" s="5"/>
      <c r="OWY4" s="5"/>
      <c r="OWZ4" s="5"/>
      <c r="OXA4" s="5"/>
      <c r="OXB4" s="5"/>
      <c r="OXC4" s="5"/>
      <c r="OXD4" s="5"/>
      <c r="OXE4" s="5"/>
      <c r="OXF4" s="5"/>
      <c r="OXG4" s="5"/>
      <c r="OXH4" s="5"/>
      <c r="OXI4" s="5"/>
      <c r="OXJ4" s="5"/>
      <c r="OXK4" s="5"/>
      <c r="OXL4" s="5"/>
      <c r="OXM4" s="5"/>
      <c r="OXN4" s="5"/>
      <c r="OXO4" s="5"/>
      <c r="OXP4" s="5"/>
      <c r="OXQ4" s="5"/>
      <c r="OXR4" s="5"/>
      <c r="OXS4" s="5"/>
      <c r="OXT4" s="5"/>
      <c r="OXU4" s="5"/>
      <c r="OXV4" s="5"/>
      <c r="OXW4" s="5"/>
      <c r="OXX4" s="5"/>
      <c r="OXY4" s="5"/>
      <c r="OXZ4" s="5"/>
      <c r="OYA4" s="5"/>
      <c r="OYB4" s="5"/>
      <c r="OYC4" s="5"/>
      <c r="OYD4" s="5"/>
      <c r="OYE4" s="5"/>
      <c r="OYF4" s="5"/>
      <c r="OYG4" s="5"/>
      <c r="OYH4" s="5"/>
      <c r="OYI4" s="5"/>
      <c r="OYJ4" s="5"/>
      <c r="OYK4" s="5"/>
      <c r="OYL4" s="5"/>
      <c r="OYM4" s="5"/>
      <c r="OYN4" s="5"/>
      <c r="OYO4" s="5"/>
      <c r="OYP4" s="5"/>
      <c r="OYQ4" s="5"/>
      <c r="OYR4" s="5"/>
      <c r="OYS4" s="5"/>
      <c r="OYT4" s="5"/>
      <c r="OYU4" s="5"/>
      <c r="OYV4" s="5"/>
      <c r="OYW4" s="5"/>
      <c r="OYX4" s="5"/>
      <c r="OYY4" s="5"/>
      <c r="OYZ4" s="5"/>
      <c r="OZA4" s="5"/>
      <c r="OZB4" s="5"/>
      <c r="OZC4" s="5"/>
      <c r="OZD4" s="5"/>
      <c r="OZE4" s="5"/>
      <c r="OZF4" s="5"/>
      <c r="OZG4" s="5"/>
      <c r="OZH4" s="5"/>
      <c r="OZI4" s="5"/>
      <c r="OZJ4" s="5"/>
      <c r="OZK4" s="5"/>
      <c r="OZL4" s="5"/>
      <c r="OZM4" s="5"/>
      <c r="OZN4" s="5"/>
      <c r="OZO4" s="5"/>
      <c r="OZP4" s="5"/>
      <c r="OZQ4" s="5"/>
      <c r="OZR4" s="5"/>
      <c r="OZS4" s="5"/>
      <c r="OZT4" s="5"/>
      <c r="OZU4" s="5"/>
      <c r="OZV4" s="5"/>
      <c r="OZW4" s="5"/>
      <c r="OZX4" s="5"/>
      <c r="OZY4" s="5"/>
      <c r="OZZ4" s="5"/>
      <c r="PAA4" s="5"/>
      <c r="PAB4" s="5"/>
      <c r="PAC4" s="5"/>
      <c r="PAD4" s="5"/>
      <c r="PAE4" s="5"/>
      <c r="PAF4" s="5"/>
      <c r="PAG4" s="5"/>
      <c r="PAH4" s="5"/>
      <c r="PAI4" s="5"/>
      <c r="PAJ4" s="5"/>
      <c r="PAK4" s="5"/>
      <c r="PAL4" s="5"/>
      <c r="PAM4" s="5"/>
      <c r="PAN4" s="5"/>
      <c r="PAO4" s="5"/>
      <c r="PAP4" s="5"/>
      <c r="PAQ4" s="5"/>
      <c r="PAR4" s="5"/>
      <c r="PAS4" s="5"/>
      <c r="PAT4" s="5"/>
      <c r="PAU4" s="5"/>
      <c r="PAV4" s="5"/>
      <c r="PAW4" s="5"/>
      <c r="PAX4" s="5"/>
      <c r="PAY4" s="5"/>
      <c r="PAZ4" s="5"/>
      <c r="PBA4" s="5"/>
      <c r="PBB4" s="5"/>
      <c r="PBC4" s="5"/>
      <c r="PBD4" s="5"/>
      <c r="PBE4" s="5"/>
      <c r="PBF4" s="5"/>
      <c r="PBG4" s="5"/>
      <c r="PBH4" s="5"/>
      <c r="PBI4" s="5"/>
      <c r="PBJ4" s="5"/>
      <c r="PBK4" s="5"/>
      <c r="PBL4" s="5"/>
      <c r="PBM4" s="5"/>
      <c r="PBN4" s="5"/>
      <c r="PBO4" s="5"/>
      <c r="PBP4" s="5"/>
      <c r="PBQ4" s="5"/>
      <c r="PBR4" s="5"/>
      <c r="PBS4" s="5"/>
      <c r="PBT4" s="5"/>
      <c r="PBU4" s="5"/>
      <c r="PBV4" s="5"/>
      <c r="PBW4" s="5"/>
      <c r="PBX4" s="5"/>
      <c r="PBY4" s="5"/>
      <c r="PBZ4" s="5"/>
      <c r="PCA4" s="5"/>
      <c r="PCB4" s="5"/>
      <c r="PCC4" s="5"/>
      <c r="PCD4" s="5"/>
      <c r="PCE4" s="5"/>
      <c r="PCF4" s="5"/>
      <c r="PCG4" s="5"/>
      <c r="PCH4" s="5"/>
      <c r="PCI4" s="5"/>
      <c r="PCJ4" s="5"/>
      <c r="PCK4" s="5"/>
      <c r="PCL4" s="5"/>
      <c r="PCM4" s="5"/>
      <c r="PCN4" s="5"/>
      <c r="PCO4" s="5"/>
      <c r="PCP4" s="5"/>
      <c r="PCQ4" s="5"/>
      <c r="PCR4" s="5"/>
      <c r="PCS4" s="5"/>
      <c r="PCT4" s="5"/>
      <c r="PCU4" s="5"/>
      <c r="PCV4" s="5"/>
      <c r="PCW4" s="5"/>
      <c r="PCX4" s="5"/>
      <c r="PCY4" s="5"/>
      <c r="PCZ4" s="5"/>
      <c r="PDA4" s="5"/>
      <c r="PDB4" s="5"/>
      <c r="PDC4" s="5"/>
      <c r="PDD4" s="5"/>
      <c r="PDE4" s="5"/>
      <c r="PDF4" s="5"/>
      <c r="PDG4" s="5"/>
      <c r="PDH4" s="5"/>
      <c r="PDI4" s="5"/>
      <c r="PDJ4" s="5"/>
      <c r="PDK4" s="5"/>
      <c r="PDL4" s="5"/>
      <c r="PDM4" s="5"/>
      <c r="PDN4" s="5"/>
      <c r="PDO4" s="5"/>
      <c r="PDP4" s="5"/>
      <c r="PDQ4" s="5"/>
      <c r="PDR4" s="5"/>
      <c r="PDS4" s="5"/>
      <c r="PDT4" s="5"/>
      <c r="PDU4" s="5"/>
      <c r="PDV4" s="5"/>
      <c r="PDW4" s="5"/>
      <c r="PDX4" s="5"/>
      <c r="PDY4" s="5"/>
      <c r="PDZ4" s="5"/>
      <c r="PEA4" s="5"/>
      <c r="PEB4" s="5"/>
      <c r="PEC4" s="5"/>
      <c r="PED4" s="5"/>
      <c r="PEE4" s="5"/>
      <c r="PEF4" s="5"/>
      <c r="PEG4" s="5"/>
      <c r="PEH4" s="5"/>
      <c r="PEI4" s="5"/>
      <c r="PEJ4" s="5"/>
      <c r="PEK4" s="5"/>
      <c r="PEL4" s="5"/>
      <c r="PEM4" s="5"/>
      <c r="PEN4" s="5"/>
      <c r="PEO4" s="5"/>
      <c r="PEP4" s="5"/>
      <c r="PEQ4" s="5"/>
      <c r="PER4" s="5"/>
      <c r="PES4" s="5"/>
      <c r="PET4" s="5"/>
      <c r="PEU4" s="5"/>
      <c r="PEV4" s="5"/>
      <c r="PEW4" s="5"/>
      <c r="PEX4" s="5"/>
      <c r="PEY4" s="5"/>
      <c r="PEZ4" s="5"/>
      <c r="PFA4" s="5"/>
      <c r="PFB4" s="5"/>
      <c r="PFC4" s="5"/>
      <c r="PFD4" s="5"/>
      <c r="PFE4" s="5"/>
      <c r="PFF4" s="5"/>
      <c r="PFG4" s="5"/>
      <c r="PFH4" s="5"/>
      <c r="PFI4" s="5"/>
      <c r="PFJ4" s="5"/>
      <c r="PFK4" s="5"/>
      <c r="PFL4" s="5"/>
      <c r="PFM4" s="5"/>
      <c r="PFN4" s="5"/>
      <c r="PFO4" s="5"/>
      <c r="PFP4" s="5"/>
      <c r="PFQ4" s="5"/>
      <c r="PFR4" s="5"/>
      <c r="PFS4" s="5"/>
      <c r="PFT4" s="5"/>
      <c r="PFU4" s="5"/>
      <c r="PFV4" s="5"/>
      <c r="PFW4" s="5"/>
      <c r="PFX4" s="5"/>
      <c r="PFY4" s="5"/>
      <c r="PFZ4" s="5"/>
      <c r="PGA4" s="5"/>
      <c r="PGB4" s="5"/>
      <c r="PGC4" s="5"/>
      <c r="PGD4" s="5"/>
      <c r="PGE4" s="5"/>
      <c r="PGF4" s="5"/>
      <c r="PGG4" s="5"/>
      <c r="PGH4" s="5"/>
      <c r="PGI4" s="5"/>
      <c r="PGJ4" s="5"/>
      <c r="PGK4" s="5"/>
      <c r="PGL4" s="5"/>
      <c r="PGM4" s="5"/>
      <c r="PGN4" s="5"/>
      <c r="PGO4" s="5"/>
      <c r="PGP4" s="5"/>
      <c r="PGQ4" s="5"/>
      <c r="PGR4" s="5"/>
      <c r="PGS4" s="5"/>
      <c r="PGT4" s="5"/>
      <c r="PGU4" s="5"/>
      <c r="PGV4" s="5"/>
      <c r="PGW4" s="5"/>
      <c r="PGX4" s="5"/>
      <c r="PGY4" s="5"/>
      <c r="PGZ4" s="5"/>
      <c r="PHA4" s="5"/>
      <c r="PHB4" s="5"/>
      <c r="PHC4" s="5"/>
      <c r="PHD4" s="5"/>
      <c r="PHE4" s="5"/>
      <c r="PHF4" s="5"/>
      <c r="PHG4" s="5"/>
      <c r="PHH4" s="5"/>
      <c r="PHI4" s="5"/>
      <c r="PHJ4" s="5"/>
      <c r="PHK4" s="5"/>
      <c r="PHL4" s="5"/>
      <c r="PHM4" s="5"/>
      <c r="PHN4" s="5"/>
      <c r="PHO4" s="5"/>
      <c r="PHP4" s="5"/>
      <c r="PHQ4" s="5"/>
      <c r="PHR4" s="5"/>
      <c r="PHS4" s="5"/>
      <c r="PHT4" s="5"/>
      <c r="PHU4" s="5"/>
      <c r="PHV4" s="5"/>
      <c r="PHW4" s="5"/>
      <c r="PHX4" s="5"/>
      <c r="PHY4" s="5"/>
      <c r="PHZ4" s="5"/>
      <c r="PIA4" s="5"/>
      <c r="PIB4" s="5"/>
      <c r="PIC4" s="5"/>
      <c r="PID4" s="5"/>
      <c r="PIE4" s="5"/>
      <c r="PIF4" s="5"/>
      <c r="PIG4" s="5"/>
      <c r="PIH4" s="5"/>
      <c r="PII4" s="5"/>
      <c r="PIJ4" s="5"/>
      <c r="PIK4" s="5"/>
      <c r="PIL4" s="5"/>
      <c r="PIM4" s="5"/>
      <c r="PIN4" s="5"/>
      <c r="PIO4" s="5"/>
      <c r="PIP4" s="5"/>
      <c r="PIQ4" s="5"/>
      <c r="PIR4" s="5"/>
      <c r="PIS4" s="5"/>
      <c r="PIT4" s="5"/>
      <c r="PIU4" s="5"/>
      <c r="PIV4" s="5"/>
      <c r="PIW4" s="5"/>
      <c r="PIX4" s="5"/>
      <c r="PIY4" s="5"/>
      <c r="PIZ4" s="5"/>
      <c r="PJA4" s="5"/>
      <c r="PJB4" s="5"/>
      <c r="PJC4" s="5"/>
      <c r="PJD4" s="5"/>
      <c r="PJE4" s="5"/>
      <c r="PJF4" s="5"/>
      <c r="PJG4" s="5"/>
      <c r="PJH4" s="5"/>
      <c r="PJI4" s="5"/>
      <c r="PJJ4" s="5"/>
      <c r="PJK4" s="5"/>
      <c r="PJL4" s="5"/>
      <c r="PJM4" s="5"/>
      <c r="PJN4" s="5"/>
      <c r="PJO4" s="5"/>
      <c r="PJP4" s="5"/>
      <c r="PJQ4" s="5"/>
      <c r="PJR4" s="5"/>
      <c r="PJS4" s="5"/>
      <c r="PJT4" s="5"/>
      <c r="PJU4" s="5"/>
      <c r="PJV4" s="5"/>
      <c r="PJW4" s="5"/>
      <c r="PJX4" s="5"/>
      <c r="PJY4" s="5"/>
      <c r="PJZ4" s="5"/>
      <c r="PKA4" s="5"/>
      <c r="PKB4" s="5"/>
      <c r="PKC4" s="5"/>
      <c r="PKD4" s="5"/>
      <c r="PKE4" s="5"/>
      <c r="PKF4" s="5"/>
      <c r="PKG4" s="5"/>
      <c r="PKH4" s="5"/>
      <c r="PKI4" s="5"/>
      <c r="PKJ4" s="5"/>
      <c r="PKK4" s="5"/>
      <c r="PKL4" s="5"/>
      <c r="PKM4" s="5"/>
      <c r="PKN4" s="5"/>
      <c r="PKO4" s="5"/>
      <c r="PKP4" s="5"/>
      <c r="PKQ4" s="5"/>
      <c r="PKR4" s="5"/>
      <c r="PKS4" s="5"/>
      <c r="PKT4" s="5"/>
      <c r="PKU4" s="5"/>
      <c r="PKV4" s="5"/>
      <c r="PKW4" s="5"/>
      <c r="PKX4" s="5"/>
      <c r="PKY4" s="5"/>
      <c r="PKZ4" s="5"/>
      <c r="PLA4" s="5"/>
      <c r="PLB4" s="5"/>
      <c r="PLC4" s="5"/>
      <c r="PLD4" s="5"/>
      <c r="PLE4" s="5"/>
      <c r="PLF4" s="5"/>
      <c r="PLG4" s="5"/>
      <c r="PLH4" s="5"/>
      <c r="PLI4" s="5"/>
      <c r="PLJ4" s="5"/>
      <c r="PLK4" s="5"/>
      <c r="PLL4" s="5"/>
      <c r="PLM4" s="5"/>
      <c r="PLN4" s="5"/>
      <c r="PLO4" s="5"/>
      <c r="PLP4" s="5"/>
      <c r="PLQ4" s="5"/>
      <c r="PLR4" s="5"/>
      <c r="PLS4" s="5"/>
      <c r="PLT4" s="5"/>
      <c r="PLU4" s="5"/>
      <c r="PLV4" s="5"/>
      <c r="PLW4" s="5"/>
      <c r="PLX4" s="5"/>
      <c r="PLY4" s="5"/>
      <c r="PLZ4" s="5"/>
      <c r="PMA4" s="5"/>
      <c r="PMB4" s="5"/>
      <c r="PMC4" s="5"/>
      <c r="PMD4" s="5"/>
      <c r="PME4" s="5"/>
      <c r="PMF4" s="5"/>
      <c r="PMG4" s="5"/>
      <c r="PMH4" s="5"/>
      <c r="PMI4" s="5"/>
      <c r="PMJ4" s="5"/>
      <c r="PMK4" s="5"/>
      <c r="PML4" s="5"/>
      <c r="PMM4" s="5"/>
      <c r="PMN4" s="5"/>
      <c r="PMO4" s="5"/>
      <c r="PMP4" s="5"/>
      <c r="PMQ4" s="5"/>
      <c r="PMR4" s="5"/>
      <c r="PMS4" s="5"/>
      <c r="PMT4" s="5"/>
      <c r="PMU4" s="5"/>
      <c r="PMV4" s="5"/>
      <c r="PMW4" s="5"/>
      <c r="PMX4" s="5"/>
      <c r="PMY4" s="5"/>
      <c r="PMZ4" s="5"/>
      <c r="PNA4" s="5"/>
      <c r="PNB4" s="5"/>
      <c r="PNC4" s="5"/>
      <c r="PND4" s="5"/>
      <c r="PNE4" s="5"/>
      <c r="PNF4" s="5"/>
      <c r="PNG4" s="5"/>
      <c r="PNH4" s="5"/>
      <c r="PNI4" s="5"/>
      <c r="PNJ4" s="5"/>
      <c r="PNK4" s="5"/>
      <c r="PNL4" s="5"/>
      <c r="PNM4" s="5"/>
      <c r="PNN4" s="5"/>
      <c r="PNO4" s="5"/>
      <c r="PNP4" s="5"/>
      <c r="PNQ4" s="5"/>
      <c r="PNR4" s="5"/>
      <c r="PNS4" s="5"/>
      <c r="PNT4" s="5"/>
      <c r="PNU4" s="5"/>
      <c r="PNV4" s="5"/>
      <c r="PNW4" s="5"/>
      <c r="PNX4" s="5"/>
      <c r="PNY4" s="5"/>
      <c r="PNZ4" s="5"/>
      <c r="POA4" s="5"/>
      <c r="POB4" s="5"/>
      <c r="POC4" s="5"/>
      <c r="POD4" s="5"/>
      <c r="POE4" s="5"/>
      <c r="POF4" s="5"/>
      <c r="POG4" s="5"/>
      <c r="POH4" s="5"/>
      <c r="POI4" s="5"/>
      <c r="POJ4" s="5"/>
      <c r="POK4" s="5"/>
      <c r="POL4" s="5"/>
      <c r="POM4" s="5"/>
      <c r="PON4" s="5"/>
      <c r="POO4" s="5"/>
      <c r="POP4" s="5"/>
      <c r="POQ4" s="5"/>
      <c r="POR4" s="5"/>
      <c r="POS4" s="5"/>
      <c r="POT4" s="5"/>
      <c r="POU4" s="5"/>
      <c r="POV4" s="5"/>
      <c r="POW4" s="5"/>
      <c r="POX4" s="5"/>
      <c r="POY4" s="5"/>
      <c r="POZ4" s="5"/>
      <c r="PPA4" s="5"/>
      <c r="PPB4" s="5"/>
      <c r="PPC4" s="5"/>
      <c r="PPD4" s="5"/>
      <c r="PPE4" s="5"/>
      <c r="PPF4" s="5"/>
      <c r="PPG4" s="5"/>
      <c r="PPH4" s="5"/>
      <c r="PPI4" s="5"/>
      <c r="PPJ4" s="5"/>
      <c r="PPK4" s="5"/>
      <c r="PPL4" s="5"/>
      <c r="PPM4" s="5"/>
      <c r="PPN4" s="5"/>
      <c r="PPO4" s="5"/>
      <c r="PPP4" s="5"/>
      <c r="PPQ4" s="5"/>
      <c r="PPR4" s="5"/>
      <c r="PPS4" s="5"/>
      <c r="PPT4" s="5"/>
      <c r="PPU4" s="5"/>
      <c r="PPV4" s="5"/>
      <c r="PPW4" s="5"/>
      <c r="PPX4" s="5"/>
      <c r="PPY4" s="5"/>
      <c r="PPZ4" s="5"/>
      <c r="PQA4" s="5"/>
      <c r="PQB4" s="5"/>
      <c r="PQC4" s="5"/>
      <c r="PQD4" s="5"/>
      <c r="PQE4" s="5"/>
      <c r="PQF4" s="5"/>
      <c r="PQG4" s="5"/>
      <c r="PQH4" s="5"/>
      <c r="PQI4" s="5"/>
      <c r="PQJ4" s="5"/>
      <c r="PQK4" s="5"/>
      <c r="PQL4" s="5"/>
      <c r="PQM4" s="5"/>
      <c r="PQN4" s="5"/>
      <c r="PQO4" s="5"/>
      <c r="PQP4" s="5"/>
      <c r="PQQ4" s="5"/>
      <c r="PQR4" s="5"/>
      <c r="PQS4" s="5"/>
      <c r="PQT4" s="5"/>
      <c r="PQU4" s="5"/>
      <c r="PQV4" s="5"/>
      <c r="PQW4" s="5"/>
      <c r="PQX4" s="5"/>
      <c r="PQY4" s="5"/>
      <c r="PQZ4" s="5"/>
      <c r="PRA4" s="5"/>
      <c r="PRB4" s="5"/>
      <c r="PRC4" s="5"/>
      <c r="PRD4" s="5"/>
      <c r="PRE4" s="5"/>
      <c r="PRF4" s="5"/>
      <c r="PRG4" s="5"/>
      <c r="PRH4" s="5"/>
      <c r="PRI4" s="5"/>
      <c r="PRJ4" s="5"/>
      <c r="PRK4" s="5"/>
      <c r="PRL4" s="5"/>
      <c r="PRM4" s="5"/>
      <c r="PRN4" s="5"/>
      <c r="PRO4" s="5"/>
      <c r="PRP4" s="5"/>
      <c r="PRQ4" s="5"/>
      <c r="PRR4" s="5"/>
      <c r="PRS4" s="5"/>
      <c r="PRT4" s="5"/>
      <c r="PRU4" s="5"/>
      <c r="PRV4" s="5"/>
      <c r="PRW4" s="5"/>
      <c r="PRX4" s="5"/>
      <c r="PRY4" s="5"/>
      <c r="PRZ4" s="5"/>
      <c r="PSA4" s="5"/>
      <c r="PSB4" s="5"/>
      <c r="PSC4" s="5"/>
      <c r="PSD4" s="5"/>
      <c r="PSE4" s="5"/>
      <c r="PSF4" s="5"/>
      <c r="PSG4" s="5"/>
      <c r="PSH4" s="5"/>
      <c r="PSI4" s="5"/>
      <c r="PSJ4" s="5"/>
      <c r="PSK4" s="5"/>
      <c r="PSL4" s="5"/>
      <c r="PSM4" s="5"/>
      <c r="PSN4" s="5"/>
      <c r="PSO4" s="5"/>
      <c r="PSP4" s="5"/>
      <c r="PSQ4" s="5"/>
      <c r="PSR4" s="5"/>
      <c r="PSS4" s="5"/>
      <c r="PST4" s="5"/>
      <c r="PSU4" s="5"/>
      <c r="PSV4" s="5"/>
      <c r="PSW4" s="5"/>
      <c r="PSX4" s="5"/>
      <c r="PSY4" s="5"/>
      <c r="PSZ4" s="5"/>
      <c r="PTA4" s="5"/>
      <c r="PTB4" s="5"/>
      <c r="PTC4" s="5"/>
      <c r="PTD4" s="5"/>
      <c r="PTE4" s="5"/>
      <c r="PTF4" s="5"/>
      <c r="PTG4" s="5"/>
      <c r="PTH4" s="5"/>
      <c r="PTI4" s="5"/>
      <c r="PTJ4" s="5"/>
      <c r="PTK4" s="5"/>
      <c r="PTL4" s="5"/>
      <c r="PTM4" s="5"/>
      <c r="PTN4" s="5"/>
      <c r="PTO4" s="5"/>
      <c r="PTP4" s="5"/>
      <c r="PTQ4" s="5"/>
      <c r="PTR4" s="5"/>
      <c r="PTS4" s="5"/>
      <c r="PTT4" s="5"/>
      <c r="PTU4" s="5"/>
      <c r="PTV4" s="5"/>
      <c r="PTW4" s="5"/>
      <c r="PTX4" s="5"/>
      <c r="PTY4" s="5"/>
      <c r="PTZ4" s="5"/>
      <c r="PUA4" s="5"/>
      <c r="PUB4" s="5"/>
      <c r="PUC4" s="5"/>
      <c r="PUD4" s="5"/>
      <c r="PUE4" s="5"/>
      <c r="PUF4" s="5"/>
      <c r="PUG4" s="5"/>
      <c r="PUH4" s="5"/>
      <c r="PUI4" s="5"/>
      <c r="PUJ4" s="5"/>
      <c r="PUK4" s="5"/>
      <c r="PUL4" s="5"/>
      <c r="PUM4" s="5"/>
      <c r="PUN4" s="5"/>
      <c r="PUO4" s="5"/>
      <c r="PUP4" s="5"/>
      <c r="PUQ4" s="5"/>
      <c r="PUR4" s="5"/>
      <c r="PUS4" s="5"/>
      <c r="PUT4" s="5"/>
      <c r="PUU4" s="5"/>
      <c r="PUV4" s="5"/>
      <c r="PUW4" s="5"/>
      <c r="PUX4" s="5"/>
      <c r="PUY4" s="5"/>
      <c r="PUZ4" s="5"/>
      <c r="PVA4" s="5"/>
      <c r="PVB4" s="5"/>
      <c r="PVC4" s="5"/>
      <c r="PVD4" s="5"/>
      <c r="PVE4" s="5"/>
      <c r="PVF4" s="5"/>
      <c r="PVG4" s="5"/>
      <c r="PVH4" s="5"/>
      <c r="PVI4" s="5"/>
      <c r="PVJ4" s="5"/>
      <c r="PVK4" s="5"/>
      <c r="PVL4" s="5"/>
      <c r="PVM4" s="5"/>
      <c r="PVN4" s="5"/>
      <c r="PVO4" s="5"/>
      <c r="PVP4" s="5"/>
      <c r="PVQ4" s="5"/>
      <c r="PVR4" s="5"/>
      <c r="PVS4" s="5"/>
      <c r="PVT4" s="5"/>
      <c r="PVU4" s="5"/>
      <c r="PVV4" s="5"/>
      <c r="PVW4" s="5"/>
      <c r="PVX4" s="5"/>
      <c r="PVY4" s="5"/>
      <c r="PVZ4" s="5"/>
      <c r="PWA4" s="5"/>
      <c r="PWB4" s="5"/>
      <c r="PWC4" s="5"/>
      <c r="PWD4" s="5"/>
      <c r="PWE4" s="5"/>
      <c r="PWF4" s="5"/>
      <c r="PWG4" s="5"/>
      <c r="PWH4" s="5"/>
      <c r="PWI4" s="5"/>
      <c r="PWJ4" s="5"/>
      <c r="PWK4" s="5"/>
      <c r="PWL4" s="5"/>
      <c r="PWM4" s="5"/>
      <c r="PWN4" s="5"/>
      <c r="PWO4" s="5"/>
      <c r="PWP4" s="5"/>
      <c r="PWQ4" s="5"/>
      <c r="PWR4" s="5"/>
      <c r="PWS4" s="5"/>
      <c r="PWT4" s="5"/>
      <c r="PWU4" s="5"/>
      <c r="PWV4" s="5"/>
      <c r="PWW4" s="5"/>
      <c r="PWX4" s="5"/>
      <c r="PWY4" s="5"/>
      <c r="PWZ4" s="5"/>
      <c r="PXA4" s="5"/>
      <c r="PXB4" s="5"/>
      <c r="PXC4" s="5"/>
      <c r="PXD4" s="5"/>
      <c r="PXE4" s="5"/>
      <c r="PXF4" s="5"/>
      <c r="PXG4" s="5"/>
      <c r="PXH4" s="5"/>
      <c r="PXI4" s="5"/>
      <c r="PXJ4" s="5"/>
      <c r="PXK4" s="5"/>
      <c r="PXL4" s="5"/>
      <c r="PXM4" s="5"/>
      <c r="PXN4" s="5"/>
      <c r="PXO4" s="5"/>
      <c r="PXP4" s="5"/>
      <c r="PXQ4" s="5"/>
      <c r="PXR4" s="5"/>
      <c r="PXS4" s="5"/>
      <c r="PXT4" s="5"/>
      <c r="PXU4" s="5"/>
      <c r="PXV4" s="5"/>
      <c r="PXW4" s="5"/>
      <c r="PXX4" s="5"/>
      <c r="PXY4" s="5"/>
      <c r="PXZ4" s="5"/>
      <c r="PYA4" s="5"/>
      <c r="PYB4" s="5"/>
      <c r="PYC4" s="5"/>
      <c r="PYD4" s="5"/>
      <c r="PYE4" s="5"/>
      <c r="PYF4" s="5"/>
      <c r="PYG4" s="5"/>
      <c r="PYH4" s="5"/>
      <c r="PYI4" s="5"/>
      <c r="PYJ4" s="5"/>
      <c r="PYK4" s="5"/>
      <c r="PYL4" s="5"/>
      <c r="PYM4" s="5"/>
      <c r="PYN4" s="5"/>
      <c r="PYO4" s="5"/>
      <c r="PYP4" s="5"/>
      <c r="PYQ4" s="5"/>
      <c r="PYR4" s="5"/>
      <c r="PYS4" s="5"/>
      <c r="PYT4" s="5"/>
      <c r="PYU4" s="5"/>
      <c r="PYV4" s="5"/>
      <c r="PYW4" s="5"/>
      <c r="PYX4" s="5"/>
      <c r="PYY4" s="5"/>
      <c r="PYZ4" s="5"/>
      <c r="PZA4" s="5"/>
      <c r="PZB4" s="5"/>
      <c r="PZC4" s="5"/>
      <c r="PZD4" s="5"/>
      <c r="PZE4" s="5"/>
      <c r="PZF4" s="5"/>
      <c r="PZG4" s="5"/>
      <c r="PZH4" s="5"/>
      <c r="PZI4" s="5"/>
      <c r="PZJ4" s="5"/>
      <c r="PZK4" s="5"/>
      <c r="PZL4" s="5"/>
      <c r="PZM4" s="5"/>
      <c r="PZN4" s="5"/>
      <c r="PZO4" s="5"/>
      <c r="PZP4" s="5"/>
      <c r="PZQ4" s="5"/>
      <c r="PZR4" s="5"/>
      <c r="PZS4" s="5"/>
      <c r="PZT4" s="5"/>
      <c r="PZU4" s="5"/>
      <c r="PZV4" s="5"/>
      <c r="PZW4" s="5"/>
      <c r="PZX4" s="5"/>
      <c r="PZY4" s="5"/>
      <c r="PZZ4" s="5"/>
      <c r="QAA4" s="5"/>
      <c r="QAB4" s="5"/>
      <c r="QAC4" s="5"/>
      <c r="QAD4" s="5"/>
      <c r="QAE4" s="5"/>
      <c r="QAF4" s="5"/>
      <c r="QAG4" s="5"/>
      <c r="QAH4" s="5"/>
      <c r="QAI4" s="5"/>
      <c r="QAJ4" s="5"/>
      <c r="QAK4" s="5"/>
      <c r="QAL4" s="5"/>
      <c r="QAM4" s="5"/>
      <c r="QAN4" s="5"/>
      <c r="QAO4" s="5"/>
      <c r="QAP4" s="5"/>
      <c r="QAQ4" s="5"/>
      <c r="QAR4" s="5"/>
      <c r="QAS4" s="5"/>
      <c r="QAT4" s="5"/>
      <c r="QAU4" s="5"/>
      <c r="QAV4" s="5"/>
      <c r="QAW4" s="5"/>
      <c r="QAX4" s="5"/>
      <c r="QAY4" s="5"/>
      <c r="QAZ4" s="5"/>
      <c r="QBA4" s="5"/>
      <c r="QBB4" s="5"/>
      <c r="QBC4" s="5"/>
      <c r="QBD4" s="5"/>
      <c r="QBE4" s="5"/>
      <c r="QBF4" s="5"/>
      <c r="QBG4" s="5"/>
      <c r="QBH4" s="5"/>
      <c r="QBI4" s="5"/>
      <c r="QBJ4" s="5"/>
      <c r="QBK4" s="5"/>
      <c r="QBL4" s="5"/>
      <c r="QBM4" s="5"/>
      <c r="QBN4" s="5"/>
      <c r="QBO4" s="5"/>
      <c r="QBP4" s="5"/>
      <c r="QBQ4" s="5"/>
      <c r="QBR4" s="5"/>
      <c r="QBS4" s="5"/>
      <c r="QBT4" s="5"/>
      <c r="QBU4" s="5"/>
      <c r="QBV4" s="5"/>
      <c r="QBW4" s="5"/>
      <c r="QBX4" s="5"/>
      <c r="QBY4" s="5"/>
      <c r="QBZ4" s="5"/>
      <c r="QCA4" s="5"/>
      <c r="QCB4" s="5"/>
      <c r="QCC4" s="5"/>
      <c r="QCD4" s="5"/>
      <c r="QCE4" s="5"/>
      <c r="QCF4" s="5"/>
      <c r="QCG4" s="5"/>
      <c r="QCH4" s="5"/>
      <c r="QCI4" s="5"/>
      <c r="QCJ4" s="5"/>
      <c r="QCK4" s="5"/>
      <c r="QCL4" s="5"/>
      <c r="QCM4" s="5"/>
      <c r="QCN4" s="5"/>
      <c r="QCO4" s="5"/>
      <c r="QCP4" s="5"/>
      <c r="QCQ4" s="5"/>
      <c r="QCR4" s="5"/>
      <c r="QCS4" s="5"/>
      <c r="QCT4" s="5"/>
      <c r="QCU4" s="5"/>
      <c r="QCV4" s="5"/>
      <c r="QCW4" s="5"/>
      <c r="QCX4" s="5"/>
      <c r="QCY4" s="5"/>
      <c r="QCZ4" s="5"/>
      <c r="QDA4" s="5"/>
      <c r="QDB4" s="5"/>
      <c r="QDC4" s="5"/>
      <c r="QDD4" s="5"/>
      <c r="QDE4" s="5"/>
      <c r="QDF4" s="5"/>
      <c r="QDG4" s="5"/>
      <c r="QDH4" s="5"/>
      <c r="QDI4" s="5"/>
      <c r="QDJ4" s="5"/>
      <c r="QDK4" s="5"/>
      <c r="QDL4" s="5"/>
      <c r="QDM4" s="5"/>
      <c r="QDN4" s="5"/>
      <c r="QDO4" s="5"/>
      <c r="QDP4" s="5"/>
      <c r="QDQ4" s="5"/>
      <c r="QDR4" s="5"/>
      <c r="QDS4" s="5"/>
      <c r="QDT4" s="5"/>
      <c r="QDU4" s="5"/>
      <c r="QDV4" s="5"/>
      <c r="QDW4" s="5"/>
      <c r="QDX4" s="5"/>
      <c r="QDY4" s="5"/>
      <c r="QDZ4" s="5"/>
      <c r="QEA4" s="5"/>
      <c r="QEB4" s="5"/>
      <c r="QEC4" s="5"/>
      <c r="QED4" s="5"/>
      <c r="QEE4" s="5"/>
      <c r="QEF4" s="5"/>
      <c r="QEG4" s="5"/>
      <c r="QEH4" s="5"/>
      <c r="QEI4" s="5"/>
      <c r="QEJ4" s="5"/>
      <c r="QEK4" s="5"/>
      <c r="QEL4" s="5"/>
      <c r="QEM4" s="5"/>
      <c r="QEN4" s="5"/>
      <c r="QEO4" s="5"/>
      <c r="QEP4" s="5"/>
      <c r="QEQ4" s="5"/>
      <c r="QER4" s="5"/>
      <c r="QES4" s="5"/>
      <c r="QET4" s="5"/>
      <c r="QEU4" s="5"/>
      <c r="QEV4" s="5"/>
      <c r="QEW4" s="5"/>
      <c r="QEX4" s="5"/>
      <c r="QEY4" s="5"/>
      <c r="QEZ4" s="5"/>
      <c r="QFA4" s="5"/>
      <c r="QFB4" s="5"/>
      <c r="QFC4" s="5"/>
      <c r="QFD4" s="5"/>
      <c r="QFE4" s="5"/>
      <c r="QFF4" s="5"/>
      <c r="QFG4" s="5"/>
      <c r="QFH4" s="5"/>
      <c r="QFI4" s="5"/>
      <c r="QFJ4" s="5"/>
      <c r="QFK4" s="5"/>
      <c r="QFL4" s="5"/>
      <c r="QFM4" s="5"/>
      <c r="QFN4" s="5"/>
      <c r="QFO4" s="5"/>
      <c r="QFP4" s="5"/>
      <c r="QFQ4" s="5"/>
      <c r="QFR4" s="5"/>
      <c r="QFS4" s="5"/>
      <c r="QFT4" s="5"/>
      <c r="QFU4" s="5"/>
      <c r="QFV4" s="5"/>
      <c r="QFW4" s="5"/>
      <c r="QFX4" s="5"/>
      <c r="QFY4" s="5"/>
      <c r="QFZ4" s="5"/>
      <c r="QGA4" s="5"/>
      <c r="QGB4" s="5"/>
      <c r="QGC4" s="5"/>
      <c r="QGD4" s="5"/>
      <c r="QGE4" s="5"/>
      <c r="QGF4" s="5"/>
      <c r="QGG4" s="5"/>
      <c r="QGH4" s="5"/>
      <c r="QGI4" s="5"/>
      <c r="QGJ4" s="5"/>
      <c r="QGK4" s="5"/>
      <c r="QGL4" s="5"/>
      <c r="QGM4" s="5"/>
      <c r="QGN4" s="5"/>
      <c r="QGO4" s="5"/>
      <c r="QGP4" s="5"/>
      <c r="QGQ4" s="5"/>
      <c r="QGR4" s="5"/>
      <c r="QGS4" s="5"/>
      <c r="QGT4" s="5"/>
      <c r="QGU4" s="5"/>
      <c r="QGV4" s="5"/>
      <c r="QGW4" s="5"/>
      <c r="QGX4" s="5"/>
      <c r="QGY4" s="5"/>
      <c r="QGZ4" s="5"/>
      <c r="QHA4" s="5"/>
      <c r="QHB4" s="5"/>
      <c r="QHC4" s="5"/>
      <c r="QHD4" s="5"/>
      <c r="QHE4" s="5"/>
      <c r="QHF4" s="5"/>
      <c r="QHG4" s="5"/>
      <c r="QHH4" s="5"/>
      <c r="QHI4" s="5"/>
      <c r="QHJ4" s="5"/>
      <c r="QHK4" s="5"/>
      <c r="QHL4" s="5"/>
      <c r="QHM4" s="5"/>
      <c r="QHN4" s="5"/>
      <c r="QHO4" s="5"/>
      <c r="QHP4" s="5"/>
      <c r="QHQ4" s="5"/>
      <c r="QHR4" s="5"/>
      <c r="QHS4" s="5"/>
      <c r="QHT4" s="5"/>
      <c r="QHU4" s="5"/>
      <c r="QHV4" s="5"/>
      <c r="QHW4" s="5"/>
      <c r="QHX4" s="5"/>
      <c r="QHY4" s="5"/>
      <c r="QHZ4" s="5"/>
      <c r="QIA4" s="5"/>
      <c r="QIB4" s="5"/>
      <c r="QIC4" s="5"/>
      <c r="QID4" s="5"/>
      <c r="QIE4" s="5"/>
      <c r="QIF4" s="5"/>
      <c r="QIG4" s="5"/>
      <c r="QIH4" s="5"/>
      <c r="QII4" s="5"/>
      <c r="QIJ4" s="5"/>
      <c r="QIK4" s="5"/>
      <c r="QIL4" s="5"/>
      <c r="QIM4" s="5"/>
      <c r="QIN4" s="5"/>
      <c r="QIO4" s="5"/>
      <c r="QIP4" s="5"/>
      <c r="QIQ4" s="5"/>
      <c r="QIR4" s="5"/>
      <c r="QIS4" s="5"/>
      <c r="QIT4" s="5"/>
      <c r="QIU4" s="5"/>
      <c r="QIV4" s="5"/>
      <c r="QIW4" s="5"/>
      <c r="QIX4" s="5"/>
      <c r="QIY4" s="5"/>
      <c r="QIZ4" s="5"/>
      <c r="QJA4" s="5"/>
      <c r="QJB4" s="5"/>
      <c r="QJC4" s="5"/>
      <c r="QJD4" s="5"/>
      <c r="QJE4" s="5"/>
      <c r="QJF4" s="5"/>
      <c r="QJG4" s="5"/>
      <c r="QJH4" s="5"/>
      <c r="QJI4" s="5"/>
      <c r="QJJ4" s="5"/>
      <c r="QJK4" s="5"/>
      <c r="QJL4" s="5"/>
      <c r="QJM4" s="5"/>
      <c r="QJN4" s="5"/>
      <c r="QJO4" s="5"/>
      <c r="QJP4" s="5"/>
      <c r="QJQ4" s="5"/>
      <c r="QJR4" s="5"/>
      <c r="QJS4" s="5"/>
      <c r="QJT4" s="5"/>
      <c r="QJU4" s="5"/>
      <c r="QJV4" s="5"/>
      <c r="QJW4" s="5"/>
      <c r="QJX4" s="5"/>
      <c r="QJY4" s="5"/>
      <c r="QJZ4" s="5"/>
      <c r="QKA4" s="5"/>
      <c r="QKB4" s="5"/>
      <c r="QKC4" s="5"/>
      <c r="QKD4" s="5"/>
      <c r="QKE4" s="5"/>
      <c r="QKF4" s="5"/>
      <c r="QKG4" s="5"/>
      <c r="QKH4" s="5"/>
      <c r="QKI4" s="5"/>
      <c r="QKJ4" s="5"/>
      <c r="QKK4" s="5"/>
      <c r="QKL4" s="5"/>
      <c r="QKM4" s="5"/>
      <c r="QKN4" s="5"/>
      <c r="QKO4" s="5"/>
      <c r="QKP4" s="5"/>
      <c r="QKQ4" s="5"/>
      <c r="QKR4" s="5"/>
      <c r="QKS4" s="5"/>
      <c r="QKT4" s="5"/>
      <c r="QKU4" s="5"/>
      <c r="QKV4" s="5"/>
      <c r="QKW4" s="5"/>
      <c r="QKX4" s="5"/>
      <c r="QKY4" s="5"/>
      <c r="QKZ4" s="5"/>
      <c r="QLA4" s="5"/>
      <c r="QLB4" s="5"/>
      <c r="QLC4" s="5"/>
      <c r="QLD4" s="5"/>
      <c r="QLE4" s="5"/>
      <c r="QLF4" s="5"/>
      <c r="QLG4" s="5"/>
      <c r="QLH4" s="5"/>
      <c r="QLI4" s="5"/>
      <c r="QLJ4" s="5"/>
      <c r="QLK4" s="5"/>
      <c r="QLL4" s="5"/>
      <c r="QLM4" s="5"/>
      <c r="QLN4" s="5"/>
      <c r="QLO4" s="5"/>
      <c r="QLP4" s="5"/>
      <c r="QLQ4" s="5"/>
      <c r="QLR4" s="5"/>
      <c r="QLS4" s="5"/>
      <c r="QLT4" s="5"/>
      <c r="QLU4" s="5"/>
      <c r="QLV4" s="5"/>
      <c r="QLW4" s="5"/>
      <c r="QLX4" s="5"/>
      <c r="QLY4" s="5"/>
      <c r="QLZ4" s="5"/>
      <c r="QMA4" s="5"/>
      <c r="QMB4" s="5"/>
      <c r="QMC4" s="5"/>
      <c r="QMD4" s="5"/>
      <c r="QME4" s="5"/>
      <c r="QMF4" s="5"/>
      <c r="QMG4" s="5"/>
      <c r="QMH4" s="5"/>
      <c r="QMI4" s="5"/>
      <c r="QMJ4" s="5"/>
      <c r="QMK4" s="5"/>
      <c r="QML4" s="5"/>
      <c r="QMM4" s="5"/>
      <c r="QMN4" s="5"/>
      <c r="QMO4" s="5"/>
      <c r="QMP4" s="5"/>
      <c r="QMQ4" s="5"/>
      <c r="QMR4" s="5"/>
      <c r="QMS4" s="5"/>
      <c r="QMT4" s="5"/>
      <c r="QMU4" s="5"/>
      <c r="QMV4" s="5"/>
      <c r="QMW4" s="5"/>
      <c r="QMX4" s="5"/>
      <c r="QMY4" s="5"/>
      <c r="QMZ4" s="5"/>
      <c r="QNA4" s="5"/>
      <c r="QNB4" s="5"/>
      <c r="QNC4" s="5"/>
      <c r="QND4" s="5"/>
      <c r="QNE4" s="5"/>
      <c r="QNF4" s="5"/>
      <c r="QNG4" s="5"/>
      <c r="QNH4" s="5"/>
      <c r="QNI4" s="5"/>
      <c r="QNJ4" s="5"/>
      <c r="QNK4" s="5"/>
      <c r="QNL4" s="5"/>
      <c r="QNM4" s="5"/>
      <c r="QNN4" s="5"/>
      <c r="QNO4" s="5"/>
      <c r="QNP4" s="5"/>
      <c r="QNQ4" s="5"/>
      <c r="QNR4" s="5"/>
      <c r="QNS4" s="5"/>
      <c r="QNT4" s="5"/>
      <c r="QNU4" s="5"/>
      <c r="QNV4" s="5"/>
      <c r="QNW4" s="5"/>
      <c r="QNX4" s="5"/>
      <c r="QNY4" s="5"/>
      <c r="QNZ4" s="5"/>
      <c r="QOA4" s="5"/>
      <c r="QOB4" s="5"/>
      <c r="QOC4" s="5"/>
      <c r="QOD4" s="5"/>
      <c r="QOE4" s="5"/>
      <c r="QOF4" s="5"/>
      <c r="QOG4" s="5"/>
      <c r="QOH4" s="5"/>
      <c r="QOI4" s="5"/>
      <c r="QOJ4" s="5"/>
      <c r="QOK4" s="5"/>
      <c r="QOL4" s="5"/>
      <c r="QOM4" s="5"/>
      <c r="QON4" s="5"/>
      <c r="QOO4" s="5"/>
      <c r="QOP4" s="5"/>
      <c r="QOQ4" s="5"/>
      <c r="QOR4" s="5"/>
      <c r="QOS4" s="5"/>
      <c r="QOT4" s="5"/>
      <c r="QOU4" s="5"/>
      <c r="QOV4" s="5"/>
      <c r="QOW4" s="5"/>
      <c r="QOX4" s="5"/>
      <c r="QOY4" s="5"/>
      <c r="QOZ4" s="5"/>
      <c r="QPA4" s="5"/>
      <c r="QPB4" s="5"/>
      <c r="QPC4" s="5"/>
      <c r="QPD4" s="5"/>
      <c r="QPE4" s="5"/>
      <c r="QPF4" s="5"/>
      <c r="QPG4" s="5"/>
      <c r="QPH4" s="5"/>
      <c r="QPI4" s="5"/>
      <c r="QPJ4" s="5"/>
      <c r="QPK4" s="5"/>
      <c r="QPL4" s="5"/>
      <c r="QPM4" s="5"/>
      <c r="QPN4" s="5"/>
      <c r="QPO4" s="5"/>
      <c r="QPP4" s="5"/>
      <c r="QPQ4" s="5"/>
      <c r="QPR4" s="5"/>
      <c r="QPS4" s="5"/>
      <c r="QPT4" s="5"/>
      <c r="QPU4" s="5"/>
      <c r="QPV4" s="5"/>
      <c r="QPW4" s="5"/>
      <c r="QPX4" s="5"/>
      <c r="QPY4" s="5"/>
      <c r="QPZ4" s="5"/>
      <c r="QQA4" s="5"/>
      <c r="QQB4" s="5"/>
      <c r="QQC4" s="5"/>
      <c r="QQD4" s="5"/>
      <c r="QQE4" s="5"/>
      <c r="QQF4" s="5"/>
      <c r="QQG4" s="5"/>
      <c r="QQH4" s="5"/>
      <c r="QQI4" s="5"/>
      <c r="QQJ4" s="5"/>
      <c r="QQK4" s="5"/>
      <c r="QQL4" s="5"/>
      <c r="QQM4" s="5"/>
      <c r="QQN4" s="5"/>
      <c r="QQO4" s="5"/>
      <c r="QQP4" s="5"/>
      <c r="QQQ4" s="5"/>
      <c r="QQR4" s="5"/>
      <c r="QQS4" s="5"/>
      <c r="QQT4" s="5"/>
      <c r="QQU4" s="5"/>
      <c r="QQV4" s="5"/>
      <c r="QQW4" s="5"/>
      <c r="QQX4" s="5"/>
      <c r="QQY4" s="5"/>
      <c r="QQZ4" s="5"/>
      <c r="QRA4" s="5"/>
      <c r="QRB4" s="5"/>
      <c r="QRC4" s="5"/>
      <c r="QRD4" s="5"/>
      <c r="QRE4" s="5"/>
      <c r="QRF4" s="5"/>
      <c r="QRG4" s="5"/>
      <c r="QRH4" s="5"/>
      <c r="QRI4" s="5"/>
      <c r="QRJ4" s="5"/>
      <c r="QRK4" s="5"/>
      <c r="QRL4" s="5"/>
      <c r="QRM4" s="5"/>
      <c r="QRN4" s="5"/>
      <c r="QRO4" s="5"/>
      <c r="QRP4" s="5"/>
      <c r="QRQ4" s="5"/>
      <c r="QRR4" s="5"/>
      <c r="QRS4" s="5"/>
      <c r="QRT4" s="5"/>
      <c r="QRU4" s="5"/>
      <c r="QRV4" s="5"/>
      <c r="QRW4" s="5"/>
      <c r="QRX4" s="5"/>
      <c r="QRY4" s="5"/>
      <c r="QRZ4" s="5"/>
      <c r="QSA4" s="5"/>
      <c r="QSB4" s="5"/>
      <c r="QSC4" s="5"/>
      <c r="QSD4" s="5"/>
      <c r="QSE4" s="5"/>
      <c r="QSF4" s="5"/>
      <c r="QSG4" s="5"/>
      <c r="QSH4" s="5"/>
      <c r="QSI4" s="5"/>
      <c r="QSJ4" s="5"/>
      <c r="QSK4" s="5"/>
      <c r="QSL4" s="5"/>
      <c r="QSM4" s="5"/>
      <c r="QSN4" s="5"/>
      <c r="QSO4" s="5"/>
      <c r="QSP4" s="5"/>
      <c r="QSQ4" s="5"/>
      <c r="QSR4" s="5"/>
      <c r="QSS4" s="5"/>
      <c r="QST4" s="5"/>
      <c r="QSU4" s="5"/>
      <c r="QSV4" s="5"/>
      <c r="QSW4" s="5"/>
      <c r="QSX4" s="5"/>
      <c r="QSY4" s="5"/>
      <c r="QSZ4" s="5"/>
      <c r="QTA4" s="5"/>
      <c r="QTB4" s="5"/>
      <c r="QTC4" s="5"/>
      <c r="QTD4" s="5"/>
      <c r="QTE4" s="5"/>
      <c r="QTF4" s="5"/>
      <c r="QTG4" s="5"/>
      <c r="QTH4" s="5"/>
      <c r="QTI4" s="5"/>
      <c r="QTJ4" s="5"/>
      <c r="QTK4" s="5"/>
      <c r="QTL4" s="5"/>
      <c r="QTM4" s="5"/>
      <c r="QTN4" s="5"/>
      <c r="QTO4" s="5"/>
      <c r="QTP4" s="5"/>
      <c r="QTQ4" s="5"/>
      <c r="QTR4" s="5"/>
      <c r="QTS4" s="5"/>
      <c r="QTT4" s="5"/>
      <c r="QTU4" s="5"/>
      <c r="QTV4" s="5"/>
      <c r="QTW4" s="5"/>
      <c r="QTX4" s="5"/>
      <c r="QTY4" s="5"/>
      <c r="QTZ4" s="5"/>
      <c r="QUA4" s="5"/>
      <c r="QUB4" s="5"/>
      <c r="QUC4" s="5"/>
      <c r="QUD4" s="5"/>
      <c r="QUE4" s="5"/>
      <c r="QUF4" s="5"/>
      <c r="QUG4" s="5"/>
      <c r="QUH4" s="5"/>
      <c r="QUI4" s="5"/>
      <c r="QUJ4" s="5"/>
      <c r="QUK4" s="5"/>
      <c r="QUL4" s="5"/>
      <c r="QUM4" s="5"/>
      <c r="QUN4" s="5"/>
      <c r="QUO4" s="5"/>
      <c r="QUP4" s="5"/>
      <c r="QUQ4" s="5"/>
      <c r="QUR4" s="5"/>
      <c r="QUS4" s="5"/>
      <c r="QUT4" s="5"/>
      <c r="QUU4" s="5"/>
      <c r="QUV4" s="5"/>
      <c r="QUW4" s="5"/>
      <c r="QUX4" s="5"/>
      <c r="QUY4" s="5"/>
      <c r="QUZ4" s="5"/>
      <c r="QVA4" s="5"/>
      <c r="QVB4" s="5"/>
      <c r="QVC4" s="5"/>
      <c r="QVD4" s="5"/>
      <c r="QVE4" s="5"/>
      <c r="QVF4" s="5"/>
      <c r="QVG4" s="5"/>
      <c r="QVH4" s="5"/>
      <c r="QVI4" s="5"/>
      <c r="QVJ4" s="5"/>
      <c r="QVK4" s="5"/>
      <c r="QVL4" s="5"/>
      <c r="QVM4" s="5"/>
      <c r="QVN4" s="5"/>
      <c r="QVO4" s="5"/>
      <c r="QVP4" s="5"/>
      <c r="QVQ4" s="5"/>
      <c r="QVR4" s="5"/>
      <c r="QVS4" s="5"/>
      <c r="QVT4" s="5"/>
      <c r="QVU4" s="5"/>
      <c r="QVV4" s="5"/>
      <c r="QVW4" s="5"/>
      <c r="QVX4" s="5"/>
      <c r="QVY4" s="5"/>
      <c r="QVZ4" s="5"/>
      <c r="QWA4" s="5"/>
      <c r="QWB4" s="5"/>
      <c r="QWC4" s="5"/>
      <c r="QWD4" s="5"/>
      <c r="QWE4" s="5"/>
      <c r="QWF4" s="5"/>
      <c r="QWG4" s="5"/>
      <c r="QWH4" s="5"/>
      <c r="QWI4" s="5"/>
      <c r="QWJ4" s="5"/>
      <c r="QWK4" s="5"/>
      <c r="QWL4" s="5"/>
      <c r="QWM4" s="5"/>
      <c r="QWN4" s="5"/>
      <c r="QWO4" s="5"/>
      <c r="QWP4" s="5"/>
      <c r="QWQ4" s="5"/>
      <c r="QWR4" s="5"/>
      <c r="QWS4" s="5"/>
      <c r="QWT4" s="5"/>
      <c r="QWU4" s="5"/>
      <c r="QWV4" s="5"/>
      <c r="QWW4" s="5"/>
      <c r="QWX4" s="5"/>
      <c r="QWY4" s="5"/>
      <c r="QWZ4" s="5"/>
      <c r="QXA4" s="5"/>
      <c r="QXB4" s="5"/>
      <c r="QXC4" s="5"/>
      <c r="QXD4" s="5"/>
      <c r="QXE4" s="5"/>
      <c r="QXF4" s="5"/>
      <c r="QXG4" s="5"/>
      <c r="QXH4" s="5"/>
      <c r="QXI4" s="5"/>
      <c r="QXJ4" s="5"/>
      <c r="QXK4" s="5"/>
      <c r="QXL4" s="5"/>
      <c r="QXM4" s="5"/>
      <c r="QXN4" s="5"/>
      <c r="QXO4" s="5"/>
      <c r="QXP4" s="5"/>
      <c r="QXQ4" s="5"/>
      <c r="QXR4" s="5"/>
      <c r="QXS4" s="5"/>
      <c r="QXT4" s="5"/>
      <c r="QXU4" s="5"/>
      <c r="QXV4" s="5"/>
      <c r="QXW4" s="5"/>
      <c r="QXX4" s="5"/>
      <c r="QXY4" s="5"/>
      <c r="QXZ4" s="5"/>
      <c r="QYA4" s="5"/>
      <c r="QYB4" s="5"/>
      <c r="QYC4" s="5"/>
      <c r="QYD4" s="5"/>
      <c r="QYE4" s="5"/>
      <c r="QYF4" s="5"/>
      <c r="QYG4" s="5"/>
      <c r="QYH4" s="5"/>
      <c r="QYI4" s="5"/>
      <c r="QYJ4" s="5"/>
      <c r="QYK4" s="5"/>
      <c r="QYL4" s="5"/>
      <c r="QYM4" s="5"/>
      <c r="QYN4" s="5"/>
      <c r="QYO4" s="5"/>
      <c r="QYP4" s="5"/>
      <c r="QYQ4" s="5"/>
      <c r="QYR4" s="5"/>
      <c r="QYS4" s="5"/>
      <c r="QYT4" s="5"/>
      <c r="QYU4" s="5"/>
      <c r="QYV4" s="5"/>
      <c r="QYW4" s="5"/>
      <c r="QYX4" s="5"/>
      <c r="QYY4" s="5"/>
      <c r="QYZ4" s="5"/>
      <c r="QZA4" s="5"/>
      <c r="QZB4" s="5"/>
      <c r="QZC4" s="5"/>
      <c r="QZD4" s="5"/>
      <c r="QZE4" s="5"/>
      <c r="QZF4" s="5"/>
      <c r="QZG4" s="5"/>
      <c r="QZH4" s="5"/>
      <c r="QZI4" s="5"/>
      <c r="QZJ4" s="5"/>
      <c r="QZK4" s="5"/>
      <c r="QZL4" s="5"/>
      <c r="QZM4" s="5"/>
      <c r="QZN4" s="5"/>
      <c r="QZO4" s="5"/>
      <c r="QZP4" s="5"/>
      <c r="QZQ4" s="5"/>
      <c r="QZR4" s="5"/>
      <c r="QZS4" s="5"/>
      <c r="QZT4" s="5"/>
      <c r="QZU4" s="5"/>
      <c r="QZV4" s="5"/>
      <c r="QZW4" s="5"/>
      <c r="QZX4" s="5"/>
      <c r="QZY4" s="5"/>
      <c r="QZZ4" s="5"/>
      <c r="RAA4" s="5"/>
      <c r="RAB4" s="5"/>
      <c r="RAC4" s="5"/>
      <c r="RAD4" s="5"/>
      <c r="RAE4" s="5"/>
      <c r="RAF4" s="5"/>
      <c r="RAG4" s="5"/>
      <c r="RAH4" s="5"/>
      <c r="RAI4" s="5"/>
      <c r="RAJ4" s="5"/>
      <c r="RAK4" s="5"/>
      <c r="RAL4" s="5"/>
      <c r="RAM4" s="5"/>
      <c r="RAN4" s="5"/>
      <c r="RAO4" s="5"/>
      <c r="RAP4" s="5"/>
      <c r="RAQ4" s="5"/>
      <c r="RAR4" s="5"/>
      <c r="RAS4" s="5"/>
      <c r="RAT4" s="5"/>
      <c r="RAU4" s="5"/>
      <c r="RAV4" s="5"/>
      <c r="RAW4" s="5"/>
      <c r="RAX4" s="5"/>
      <c r="RAY4" s="5"/>
      <c r="RAZ4" s="5"/>
      <c r="RBA4" s="5"/>
      <c r="RBB4" s="5"/>
      <c r="RBC4" s="5"/>
      <c r="RBD4" s="5"/>
      <c r="RBE4" s="5"/>
      <c r="RBF4" s="5"/>
      <c r="RBG4" s="5"/>
      <c r="RBH4" s="5"/>
      <c r="RBI4" s="5"/>
      <c r="RBJ4" s="5"/>
      <c r="RBK4" s="5"/>
      <c r="RBL4" s="5"/>
      <c r="RBM4" s="5"/>
      <c r="RBN4" s="5"/>
      <c r="RBO4" s="5"/>
      <c r="RBP4" s="5"/>
      <c r="RBQ4" s="5"/>
      <c r="RBR4" s="5"/>
      <c r="RBS4" s="5"/>
      <c r="RBT4" s="5"/>
      <c r="RBU4" s="5"/>
      <c r="RBV4" s="5"/>
      <c r="RBW4" s="5"/>
      <c r="RBX4" s="5"/>
      <c r="RBY4" s="5"/>
      <c r="RBZ4" s="5"/>
      <c r="RCA4" s="5"/>
      <c r="RCB4" s="5"/>
      <c r="RCC4" s="5"/>
      <c r="RCD4" s="5"/>
      <c r="RCE4" s="5"/>
      <c r="RCF4" s="5"/>
      <c r="RCG4" s="5"/>
      <c r="RCH4" s="5"/>
      <c r="RCI4" s="5"/>
      <c r="RCJ4" s="5"/>
      <c r="RCK4" s="5"/>
      <c r="RCL4" s="5"/>
      <c r="RCM4" s="5"/>
      <c r="RCN4" s="5"/>
      <c r="RCO4" s="5"/>
      <c r="RCP4" s="5"/>
      <c r="RCQ4" s="5"/>
      <c r="RCR4" s="5"/>
      <c r="RCS4" s="5"/>
      <c r="RCT4" s="5"/>
      <c r="RCU4" s="5"/>
      <c r="RCV4" s="5"/>
      <c r="RCW4" s="5"/>
      <c r="RCX4" s="5"/>
      <c r="RCY4" s="5"/>
      <c r="RCZ4" s="5"/>
      <c r="RDA4" s="5"/>
      <c r="RDB4" s="5"/>
      <c r="RDC4" s="5"/>
      <c r="RDD4" s="5"/>
      <c r="RDE4" s="5"/>
      <c r="RDF4" s="5"/>
      <c r="RDG4" s="5"/>
      <c r="RDH4" s="5"/>
      <c r="RDI4" s="5"/>
      <c r="RDJ4" s="5"/>
      <c r="RDK4" s="5"/>
      <c r="RDL4" s="5"/>
      <c r="RDM4" s="5"/>
      <c r="RDN4" s="5"/>
      <c r="RDO4" s="5"/>
      <c r="RDP4" s="5"/>
      <c r="RDQ4" s="5"/>
      <c r="RDR4" s="5"/>
      <c r="RDS4" s="5"/>
      <c r="RDT4" s="5"/>
      <c r="RDU4" s="5"/>
      <c r="RDV4" s="5"/>
      <c r="RDW4" s="5"/>
      <c r="RDX4" s="5"/>
      <c r="RDY4" s="5"/>
      <c r="RDZ4" s="5"/>
      <c r="REA4" s="5"/>
      <c r="REB4" s="5"/>
      <c r="REC4" s="5"/>
      <c r="RED4" s="5"/>
      <c r="REE4" s="5"/>
      <c r="REF4" s="5"/>
      <c r="REG4" s="5"/>
      <c r="REH4" s="5"/>
      <c r="REI4" s="5"/>
      <c r="REJ4" s="5"/>
      <c r="REK4" s="5"/>
      <c r="REL4" s="5"/>
      <c r="REM4" s="5"/>
      <c r="REN4" s="5"/>
      <c r="REO4" s="5"/>
      <c r="REP4" s="5"/>
      <c r="REQ4" s="5"/>
      <c r="RER4" s="5"/>
      <c r="RES4" s="5"/>
      <c r="RET4" s="5"/>
      <c r="REU4" s="5"/>
      <c r="REV4" s="5"/>
      <c r="REW4" s="5"/>
      <c r="REX4" s="5"/>
      <c r="REY4" s="5"/>
      <c r="REZ4" s="5"/>
      <c r="RFA4" s="5"/>
      <c r="RFB4" s="5"/>
      <c r="RFC4" s="5"/>
      <c r="RFD4" s="5"/>
      <c r="RFE4" s="5"/>
      <c r="RFF4" s="5"/>
      <c r="RFG4" s="5"/>
      <c r="RFH4" s="5"/>
      <c r="RFI4" s="5"/>
      <c r="RFJ4" s="5"/>
      <c r="RFK4" s="5"/>
      <c r="RFL4" s="5"/>
      <c r="RFM4" s="5"/>
      <c r="RFN4" s="5"/>
      <c r="RFO4" s="5"/>
      <c r="RFP4" s="5"/>
      <c r="RFQ4" s="5"/>
      <c r="RFR4" s="5"/>
      <c r="RFS4" s="5"/>
      <c r="RFT4" s="5"/>
      <c r="RFU4" s="5"/>
      <c r="RFV4" s="5"/>
      <c r="RFW4" s="5"/>
      <c r="RFX4" s="5"/>
      <c r="RFY4" s="5"/>
      <c r="RFZ4" s="5"/>
      <c r="RGA4" s="5"/>
      <c r="RGB4" s="5"/>
      <c r="RGC4" s="5"/>
      <c r="RGD4" s="5"/>
      <c r="RGE4" s="5"/>
      <c r="RGF4" s="5"/>
      <c r="RGG4" s="5"/>
      <c r="RGH4" s="5"/>
      <c r="RGI4" s="5"/>
      <c r="RGJ4" s="5"/>
      <c r="RGK4" s="5"/>
      <c r="RGL4" s="5"/>
      <c r="RGM4" s="5"/>
      <c r="RGN4" s="5"/>
      <c r="RGO4" s="5"/>
      <c r="RGP4" s="5"/>
      <c r="RGQ4" s="5"/>
      <c r="RGR4" s="5"/>
      <c r="RGS4" s="5"/>
      <c r="RGT4" s="5"/>
      <c r="RGU4" s="5"/>
      <c r="RGV4" s="5"/>
      <c r="RGW4" s="5"/>
      <c r="RGX4" s="5"/>
      <c r="RGY4" s="5"/>
      <c r="RGZ4" s="5"/>
      <c r="RHA4" s="5"/>
      <c r="RHB4" s="5"/>
      <c r="RHC4" s="5"/>
      <c r="RHD4" s="5"/>
      <c r="RHE4" s="5"/>
      <c r="RHF4" s="5"/>
      <c r="RHG4" s="5"/>
      <c r="RHH4" s="5"/>
      <c r="RHI4" s="5"/>
      <c r="RHJ4" s="5"/>
      <c r="RHK4" s="5"/>
      <c r="RHL4" s="5"/>
      <c r="RHM4" s="5"/>
      <c r="RHN4" s="5"/>
      <c r="RHO4" s="5"/>
      <c r="RHP4" s="5"/>
      <c r="RHQ4" s="5"/>
      <c r="RHR4" s="5"/>
      <c r="RHS4" s="5"/>
      <c r="RHT4" s="5"/>
      <c r="RHU4" s="5"/>
      <c r="RHV4" s="5"/>
      <c r="RHW4" s="5"/>
      <c r="RHX4" s="5"/>
      <c r="RHY4" s="5"/>
      <c r="RHZ4" s="5"/>
      <c r="RIA4" s="5"/>
      <c r="RIB4" s="5"/>
      <c r="RIC4" s="5"/>
      <c r="RID4" s="5"/>
      <c r="RIE4" s="5"/>
      <c r="RIF4" s="5"/>
      <c r="RIG4" s="5"/>
      <c r="RIH4" s="5"/>
      <c r="RII4" s="5"/>
      <c r="RIJ4" s="5"/>
      <c r="RIK4" s="5"/>
      <c r="RIL4" s="5"/>
      <c r="RIM4" s="5"/>
      <c r="RIN4" s="5"/>
      <c r="RIO4" s="5"/>
      <c r="RIP4" s="5"/>
      <c r="RIQ4" s="5"/>
      <c r="RIR4" s="5"/>
      <c r="RIS4" s="5"/>
      <c r="RIT4" s="5"/>
      <c r="RIU4" s="5"/>
      <c r="RIV4" s="5"/>
      <c r="RIW4" s="5"/>
      <c r="RIX4" s="5"/>
      <c r="RIY4" s="5"/>
      <c r="RIZ4" s="5"/>
      <c r="RJA4" s="5"/>
      <c r="RJB4" s="5"/>
      <c r="RJC4" s="5"/>
      <c r="RJD4" s="5"/>
      <c r="RJE4" s="5"/>
      <c r="RJF4" s="5"/>
      <c r="RJG4" s="5"/>
      <c r="RJH4" s="5"/>
      <c r="RJI4" s="5"/>
      <c r="RJJ4" s="5"/>
      <c r="RJK4" s="5"/>
      <c r="RJL4" s="5"/>
      <c r="RJM4" s="5"/>
      <c r="RJN4" s="5"/>
      <c r="RJO4" s="5"/>
      <c r="RJP4" s="5"/>
      <c r="RJQ4" s="5"/>
      <c r="RJR4" s="5"/>
      <c r="RJS4" s="5"/>
      <c r="RJT4" s="5"/>
      <c r="RJU4" s="5"/>
      <c r="RJV4" s="5"/>
      <c r="RJW4" s="5"/>
      <c r="RJX4" s="5"/>
      <c r="RJY4" s="5"/>
      <c r="RJZ4" s="5"/>
      <c r="RKA4" s="5"/>
      <c r="RKB4" s="5"/>
      <c r="RKC4" s="5"/>
      <c r="RKD4" s="5"/>
      <c r="RKE4" s="5"/>
      <c r="RKF4" s="5"/>
      <c r="RKG4" s="5"/>
      <c r="RKH4" s="5"/>
      <c r="RKI4" s="5"/>
      <c r="RKJ4" s="5"/>
      <c r="RKK4" s="5"/>
      <c r="RKL4" s="5"/>
      <c r="RKM4" s="5"/>
      <c r="RKN4" s="5"/>
      <c r="RKO4" s="5"/>
      <c r="RKP4" s="5"/>
      <c r="RKQ4" s="5"/>
      <c r="RKR4" s="5"/>
      <c r="RKS4" s="5"/>
      <c r="RKT4" s="5"/>
      <c r="RKU4" s="5"/>
      <c r="RKV4" s="5"/>
      <c r="RKW4" s="5"/>
      <c r="RKX4" s="5"/>
      <c r="RKY4" s="5"/>
      <c r="RKZ4" s="5"/>
      <c r="RLA4" s="5"/>
      <c r="RLB4" s="5"/>
      <c r="RLC4" s="5"/>
      <c r="RLD4" s="5"/>
      <c r="RLE4" s="5"/>
      <c r="RLF4" s="5"/>
      <c r="RLG4" s="5"/>
      <c r="RLH4" s="5"/>
      <c r="RLI4" s="5"/>
      <c r="RLJ4" s="5"/>
      <c r="RLK4" s="5"/>
      <c r="RLL4" s="5"/>
      <c r="RLM4" s="5"/>
      <c r="RLN4" s="5"/>
      <c r="RLO4" s="5"/>
      <c r="RLP4" s="5"/>
      <c r="RLQ4" s="5"/>
      <c r="RLR4" s="5"/>
      <c r="RLS4" s="5"/>
      <c r="RLT4" s="5"/>
      <c r="RLU4" s="5"/>
      <c r="RLV4" s="5"/>
      <c r="RLW4" s="5"/>
      <c r="RLX4" s="5"/>
      <c r="RLY4" s="5"/>
      <c r="RLZ4" s="5"/>
      <c r="RMA4" s="5"/>
      <c r="RMB4" s="5"/>
      <c r="RMC4" s="5"/>
      <c r="RMD4" s="5"/>
      <c r="RME4" s="5"/>
      <c r="RMF4" s="5"/>
      <c r="RMG4" s="5"/>
      <c r="RMH4" s="5"/>
      <c r="RMI4" s="5"/>
      <c r="RMJ4" s="5"/>
      <c r="RMK4" s="5"/>
      <c r="RML4" s="5"/>
      <c r="RMM4" s="5"/>
      <c r="RMN4" s="5"/>
      <c r="RMO4" s="5"/>
      <c r="RMP4" s="5"/>
      <c r="RMQ4" s="5"/>
      <c r="RMR4" s="5"/>
      <c r="RMS4" s="5"/>
      <c r="RMT4" s="5"/>
      <c r="RMU4" s="5"/>
      <c r="RMV4" s="5"/>
      <c r="RMW4" s="5"/>
      <c r="RMX4" s="5"/>
      <c r="RMY4" s="5"/>
      <c r="RMZ4" s="5"/>
      <c r="RNA4" s="5"/>
      <c r="RNB4" s="5"/>
      <c r="RNC4" s="5"/>
      <c r="RND4" s="5"/>
      <c r="RNE4" s="5"/>
      <c r="RNF4" s="5"/>
      <c r="RNG4" s="5"/>
      <c r="RNH4" s="5"/>
      <c r="RNI4" s="5"/>
      <c r="RNJ4" s="5"/>
      <c r="RNK4" s="5"/>
      <c r="RNL4" s="5"/>
      <c r="RNM4" s="5"/>
      <c r="RNN4" s="5"/>
      <c r="RNO4" s="5"/>
      <c r="RNP4" s="5"/>
      <c r="RNQ4" s="5"/>
      <c r="RNR4" s="5"/>
      <c r="RNS4" s="5"/>
      <c r="RNT4" s="5"/>
      <c r="RNU4" s="5"/>
      <c r="RNV4" s="5"/>
      <c r="RNW4" s="5"/>
      <c r="RNX4" s="5"/>
      <c r="RNY4" s="5"/>
      <c r="RNZ4" s="5"/>
      <c r="ROA4" s="5"/>
      <c r="ROB4" s="5"/>
      <c r="ROC4" s="5"/>
      <c r="ROD4" s="5"/>
      <c r="ROE4" s="5"/>
      <c r="ROF4" s="5"/>
      <c r="ROG4" s="5"/>
      <c r="ROH4" s="5"/>
      <c r="ROI4" s="5"/>
      <c r="ROJ4" s="5"/>
      <c r="ROK4" s="5"/>
      <c r="ROL4" s="5"/>
      <c r="ROM4" s="5"/>
      <c r="RON4" s="5"/>
      <c r="ROO4" s="5"/>
      <c r="ROP4" s="5"/>
      <c r="ROQ4" s="5"/>
      <c r="ROR4" s="5"/>
      <c r="ROS4" s="5"/>
      <c r="ROT4" s="5"/>
      <c r="ROU4" s="5"/>
      <c r="ROV4" s="5"/>
      <c r="ROW4" s="5"/>
      <c r="ROX4" s="5"/>
      <c r="ROY4" s="5"/>
      <c r="ROZ4" s="5"/>
      <c r="RPA4" s="5"/>
      <c r="RPB4" s="5"/>
      <c r="RPC4" s="5"/>
      <c r="RPD4" s="5"/>
      <c r="RPE4" s="5"/>
      <c r="RPF4" s="5"/>
      <c r="RPG4" s="5"/>
      <c r="RPH4" s="5"/>
      <c r="RPI4" s="5"/>
      <c r="RPJ4" s="5"/>
      <c r="RPK4" s="5"/>
      <c r="RPL4" s="5"/>
      <c r="RPM4" s="5"/>
      <c r="RPN4" s="5"/>
      <c r="RPO4" s="5"/>
      <c r="RPP4" s="5"/>
      <c r="RPQ4" s="5"/>
      <c r="RPR4" s="5"/>
      <c r="RPS4" s="5"/>
      <c r="RPT4" s="5"/>
      <c r="RPU4" s="5"/>
      <c r="RPV4" s="5"/>
      <c r="RPW4" s="5"/>
      <c r="RPX4" s="5"/>
      <c r="RPY4" s="5"/>
      <c r="RPZ4" s="5"/>
      <c r="RQA4" s="5"/>
      <c r="RQB4" s="5"/>
      <c r="RQC4" s="5"/>
      <c r="RQD4" s="5"/>
      <c r="RQE4" s="5"/>
      <c r="RQF4" s="5"/>
      <c r="RQG4" s="5"/>
      <c r="RQH4" s="5"/>
      <c r="RQI4" s="5"/>
      <c r="RQJ4" s="5"/>
      <c r="RQK4" s="5"/>
      <c r="RQL4" s="5"/>
      <c r="RQM4" s="5"/>
      <c r="RQN4" s="5"/>
      <c r="RQO4" s="5"/>
      <c r="RQP4" s="5"/>
      <c r="RQQ4" s="5"/>
      <c r="RQR4" s="5"/>
      <c r="RQS4" s="5"/>
      <c r="RQT4" s="5"/>
      <c r="RQU4" s="5"/>
      <c r="RQV4" s="5"/>
      <c r="RQW4" s="5"/>
      <c r="RQX4" s="5"/>
      <c r="RQY4" s="5"/>
      <c r="RQZ4" s="5"/>
      <c r="RRA4" s="5"/>
      <c r="RRB4" s="5"/>
      <c r="RRC4" s="5"/>
      <c r="RRD4" s="5"/>
      <c r="RRE4" s="5"/>
      <c r="RRF4" s="5"/>
      <c r="RRG4" s="5"/>
      <c r="RRH4" s="5"/>
      <c r="RRI4" s="5"/>
      <c r="RRJ4" s="5"/>
      <c r="RRK4" s="5"/>
      <c r="RRL4" s="5"/>
      <c r="RRM4" s="5"/>
      <c r="RRN4" s="5"/>
      <c r="RRO4" s="5"/>
      <c r="RRP4" s="5"/>
      <c r="RRQ4" s="5"/>
      <c r="RRR4" s="5"/>
      <c r="RRS4" s="5"/>
      <c r="RRT4" s="5"/>
      <c r="RRU4" s="5"/>
      <c r="RRV4" s="5"/>
      <c r="RRW4" s="5"/>
      <c r="RRX4" s="5"/>
      <c r="RRY4" s="5"/>
      <c r="RRZ4" s="5"/>
      <c r="RSA4" s="5"/>
      <c r="RSB4" s="5"/>
      <c r="RSC4" s="5"/>
      <c r="RSD4" s="5"/>
      <c r="RSE4" s="5"/>
      <c r="RSF4" s="5"/>
      <c r="RSG4" s="5"/>
      <c r="RSH4" s="5"/>
      <c r="RSI4" s="5"/>
      <c r="RSJ4" s="5"/>
      <c r="RSK4" s="5"/>
      <c r="RSL4" s="5"/>
      <c r="RSM4" s="5"/>
      <c r="RSN4" s="5"/>
      <c r="RSO4" s="5"/>
      <c r="RSP4" s="5"/>
      <c r="RSQ4" s="5"/>
      <c r="RSR4" s="5"/>
      <c r="RSS4" s="5"/>
      <c r="RST4" s="5"/>
      <c r="RSU4" s="5"/>
      <c r="RSV4" s="5"/>
      <c r="RSW4" s="5"/>
      <c r="RSX4" s="5"/>
      <c r="RSY4" s="5"/>
      <c r="RSZ4" s="5"/>
      <c r="RTA4" s="5"/>
      <c r="RTB4" s="5"/>
      <c r="RTC4" s="5"/>
      <c r="RTD4" s="5"/>
      <c r="RTE4" s="5"/>
      <c r="RTF4" s="5"/>
      <c r="RTG4" s="5"/>
      <c r="RTH4" s="5"/>
      <c r="RTI4" s="5"/>
      <c r="RTJ4" s="5"/>
      <c r="RTK4" s="5"/>
      <c r="RTL4" s="5"/>
      <c r="RTM4" s="5"/>
      <c r="RTN4" s="5"/>
      <c r="RTO4" s="5"/>
      <c r="RTP4" s="5"/>
      <c r="RTQ4" s="5"/>
      <c r="RTR4" s="5"/>
      <c r="RTS4" s="5"/>
      <c r="RTT4" s="5"/>
      <c r="RTU4" s="5"/>
      <c r="RTV4" s="5"/>
      <c r="RTW4" s="5"/>
      <c r="RTX4" s="5"/>
      <c r="RTY4" s="5"/>
      <c r="RTZ4" s="5"/>
      <c r="RUA4" s="5"/>
      <c r="RUB4" s="5"/>
      <c r="RUC4" s="5"/>
      <c r="RUD4" s="5"/>
      <c r="RUE4" s="5"/>
      <c r="RUF4" s="5"/>
      <c r="RUG4" s="5"/>
      <c r="RUH4" s="5"/>
      <c r="RUI4" s="5"/>
      <c r="RUJ4" s="5"/>
      <c r="RUK4" s="5"/>
      <c r="RUL4" s="5"/>
      <c r="RUM4" s="5"/>
      <c r="RUN4" s="5"/>
      <c r="RUO4" s="5"/>
      <c r="RUP4" s="5"/>
      <c r="RUQ4" s="5"/>
      <c r="RUR4" s="5"/>
      <c r="RUS4" s="5"/>
      <c r="RUT4" s="5"/>
      <c r="RUU4" s="5"/>
      <c r="RUV4" s="5"/>
      <c r="RUW4" s="5"/>
      <c r="RUX4" s="5"/>
      <c r="RUY4" s="5"/>
      <c r="RUZ4" s="5"/>
      <c r="RVA4" s="5"/>
      <c r="RVB4" s="5"/>
      <c r="RVC4" s="5"/>
      <c r="RVD4" s="5"/>
      <c r="RVE4" s="5"/>
      <c r="RVF4" s="5"/>
      <c r="RVG4" s="5"/>
      <c r="RVH4" s="5"/>
      <c r="RVI4" s="5"/>
      <c r="RVJ4" s="5"/>
      <c r="RVK4" s="5"/>
      <c r="RVL4" s="5"/>
      <c r="RVM4" s="5"/>
      <c r="RVN4" s="5"/>
      <c r="RVO4" s="5"/>
      <c r="RVP4" s="5"/>
      <c r="RVQ4" s="5"/>
      <c r="RVR4" s="5"/>
      <c r="RVS4" s="5"/>
      <c r="RVT4" s="5"/>
      <c r="RVU4" s="5"/>
      <c r="RVV4" s="5"/>
      <c r="RVW4" s="5"/>
      <c r="RVX4" s="5"/>
      <c r="RVY4" s="5"/>
      <c r="RVZ4" s="5"/>
      <c r="RWA4" s="5"/>
      <c r="RWB4" s="5"/>
      <c r="RWC4" s="5"/>
      <c r="RWD4" s="5"/>
      <c r="RWE4" s="5"/>
      <c r="RWF4" s="5"/>
      <c r="RWG4" s="5"/>
      <c r="RWH4" s="5"/>
      <c r="RWI4" s="5"/>
      <c r="RWJ4" s="5"/>
      <c r="RWK4" s="5"/>
      <c r="RWL4" s="5"/>
      <c r="RWM4" s="5"/>
      <c r="RWN4" s="5"/>
      <c r="RWO4" s="5"/>
      <c r="RWP4" s="5"/>
      <c r="RWQ4" s="5"/>
      <c r="RWR4" s="5"/>
      <c r="RWS4" s="5"/>
      <c r="RWT4" s="5"/>
      <c r="RWU4" s="5"/>
      <c r="RWV4" s="5"/>
      <c r="RWW4" s="5"/>
      <c r="RWX4" s="5"/>
      <c r="RWY4" s="5"/>
      <c r="RWZ4" s="5"/>
      <c r="RXA4" s="5"/>
      <c r="RXB4" s="5"/>
      <c r="RXC4" s="5"/>
      <c r="RXD4" s="5"/>
      <c r="RXE4" s="5"/>
      <c r="RXF4" s="5"/>
      <c r="RXG4" s="5"/>
      <c r="RXH4" s="5"/>
      <c r="RXI4" s="5"/>
      <c r="RXJ4" s="5"/>
      <c r="RXK4" s="5"/>
      <c r="RXL4" s="5"/>
      <c r="RXM4" s="5"/>
      <c r="RXN4" s="5"/>
      <c r="RXO4" s="5"/>
      <c r="RXP4" s="5"/>
      <c r="RXQ4" s="5"/>
      <c r="RXR4" s="5"/>
      <c r="RXS4" s="5"/>
      <c r="RXT4" s="5"/>
      <c r="RXU4" s="5"/>
      <c r="RXV4" s="5"/>
      <c r="RXW4" s="5"/>
      <c r="RXX4" s="5"/>
      <c r="RXY4" s="5"/>
      <c r="RXZ4" s="5"/>
      <c r="RYA4" s="5"/>
      <c r="RYB4" s="5"/>
      <c r="RYC4" s="5"/>
      <c r="RYD4" s="5"/>
      <c r="RYE4" s="5"/>
      <c r="RYF4" s="5"/>
      <c r="RYG4" s="5"/>
      <c r="RYH4" s="5"/>
      <c r="RYI4" s="5"/>
      <c r="RYJ4" s="5"/>
      <c r="RYK4" s="5"/>
      <c r="RYL4" s="5"/>
      <c r="RYM4" s="5"/>
      <c r="RYN4" s="5"/>
      <c r="RYO4" s="5"/>
      <c r="RYP4" s="5"/>
      <c r="RYQ4" s="5"/>
      <c r="RYR4" s="5"/>
      <c r="RYS4" s="5"/>
      <c r="RYT4" s="5"/>
      <c r="RYU4" s="5"/>
      <c r="RYV4" s="5"/>
      <c r="RYW4" s="5"/>
      <c r="RYX4" s="5"/>
      <c r="RYY4" s="5"/>
      <c r="RYZ4" s="5"/>
      <c r="RZA4" s="5"/>
      <c r="RZB4" s="5"/>
      <c r="RZC4" s="5"/>
      <c r="RZD4" s="5"/>
      <c r="RZE4" s="5"/>
      <c r="RZF4" s="5"/>
      <c r="RZG4" s="5"/>
      <c r="RZH4" s="5"/>
      <c r="RZI4" s="5"/>
      <c r="RZJ4" s="5"/>
      <c r="RZK4" s="5"/>
      <c r="RZL4" s="5"/>
      <c r="RZM4" s="5"/>
      <c r="RZN4" s="5"/>
      <c r="RZO4" s="5"/>
      <c r="RZP4" s="5"/>
      <c r="RZQ4" s="5"/>
      <c r="RZR4" s="5"/>
      <c r="RZS4" s="5"/>
      <c r="RZT4" s="5"/>
      <c r="RZU4" s="5"/>
      <c r="RZV4" s="5"/>
      <c r="RZW4" s="5"/>
      <c r="RZX4" s="5"/>
      <c r="RZY4" s="5"/>
      <c r="RZZ4" s="5"/>
      <c r="SAA4" s="5"/>
      <c r="SAB4" s="5"/>
      <c r="SAC4" s="5"/>
      <c r="SAD4" s="5"/>
      <c r="SAE4" s="5"/>
      <c r="SAF4" s="5"/>
      <c r="SAG4" s="5"/>
      <c r="SAH4" s="5"/>
      <c r="SAI4" s="5"/>
      <c r="SAJ4" s="5"/>
      <c r="SAK4" s="5"/>
      <c r="SAL4" s="5"/>
      <c r="SAM4" s="5"/>
      <c r="SAN4" s="5"/>
      <c r="SAO4" s="5"/>
      <c r="SAP4" s="5"/>
      <c r="SAQ4" s="5"/>
      <c r="SAR4" s="5"/>
      <c r="SAS4" s="5"/>
      <c r="SAT4" s="5"/>
      <c r="SAU4" s="5"/>
      <c r="SAV4" s="5"/>
      <c r="SAW4" s="5"/>
      <c r="SAX4" s="5"/>
      <c r="SAY4" s="5"/>
      <c r="SAZ4" s="5"/>
      <c r="SBA4" s="5"/>
      <c r="SBB4" s="5"/>
      <c r="SBC4" s="5"/>
      <c r="SBD4" s="5"/>
      <c r="SBE4" s="5"/>
      <c r="SBF4" s="5"/>
      <c r="SBG4" s="5"/>
      <c r="SBH4" s="5"/>
      <c r="SBI4" s="5"/>
      <c r="SBJ4" s="5"/>
      <c r="SBK4" s="5"/>
      <c r="SBL4" s="5"/>
      <c r="SBM4" s="5"/>
      <c r="SBN4" s="5"/>
      <c r="SBO4" s="5"/>
      <c r="SBP4" s="5"/>
      <c r="SBQ4" s="5"/>
      <c r="SBR4" s="5"/>
      <c r="SBS4" s="5"/>
      <c r="SBT4" s="5"/>
      <c r="SBU4" s="5"/>
      <c r="SBV4" s="5"/>
      <c r="SBW4" s="5"/>
      <c r="SBX4" s="5"/>
      <c r="SBY4" s="5"/>
      <c r="SBZ4" s="5"/>
      <c r="SCA4" s="5"/>
      <c r="SCB4" s="5"/>
      <c r="SCC4" s="5"/>
      <c r="SCD4" s="5"/>
      <c r="SCE4" s="5"/>
      <c r="SCF4" s="5"/>
      <c r="SCG4" s="5"/>
      <c r="SCH4" s="5"/>
      <c r="SCI4" s="5"/>
      <c r="SCJ4" s="5"/>
      <c r="SCK4" s="5"/>
      <c r="SCL4" s="5"/>
      <c r="SCM4" s="5"/>
      <c r="SCN4" s="5"/>
      <c r="SCO4" s="5"/>
      <c r="SCP4" s="5"/>
      <c r="SCQ4" s="5"/>
      <c r="SCR4" s="5"/>
      <c r="SCS4" s="5"/>
      <c r="SCT4" s="5"/>
      <c r="SCU4" s="5"/>
      <c r="SCV4" s="5"/>
      <c r="SCW4" s="5"/>
      <c r="SCX4" s="5"/>
      <c r="SCY4" s="5"/>
      <c r="SCZ4" s="5"/>
      <c r="SDA4" s="5"/>
      <c r="SDB4" s="5"/>
      <c r="SDC4" s="5"/>
      <c r="SDD4" s="5"/>
      <c r="SDE4" s="5"/>
      <c r="SDF4" s="5"/>
      <c r="SDG4" s="5"/>
      <c r="SDH4" s="5"/>
      <c r="SDI4" s="5"/>
      <c r="SDJ4" s="5"/>
      <c r="SDK4" s="5"/>
      <c r="SDL4" s="5"/>
      <c r="SDM4" s="5"/>
      <c r="SDN4" s="5"/>
      <c r="SDO4" s="5"/>
      <c r="SDP4" s="5"/>
      <c r="SDQ4" s="5"/>
      <c r="SDR4" s="5"/>
      <c r="SDS4" s="5"/>
      <c r="SDT4" s="5"/>
      <c r="SDU4" s="5"/>
      <c r="SDV4" s="5"/>
      <c r="SDW4" s="5"/>
      <c r="SDX4" s="5"/>
      <c r="SDY4" s="5"/>
      <c r="SDZ4" s="5"/>
      <c r="SEA4" s="5"/>
      <c r="SEB4" s="5"/>
      <c r="SEC4" s="5"/>
      <c r="SED4" s="5"/>
      <c r="SEE4" s="5"/>
      <c r="SEF4" s="5"/>
      <c r="SEG4" s="5"/>
      <c r="SEH4" s="5"/>
      <c r="SEI4" s="5"/>
      <c r="SEJ4" s="5"/>
      <c r="SEK4" s="5"/>
      <c r="SEL4" s="5"/>
      <c r="SEM4" s="5"/>
      <c r="SEN4" s="5"/>
      <c r="SEO4" s="5"/>
      <c r="SEP4" s="5"/>
      <c r="SEQ4" s="5"/>
      <c r="SER4" s="5"/>
      <c r="SES4" s="5"/>
      <c r="SET4" s="5"/>
      <c r="SEU4" s="5"/>
      <c r="SEV4" s="5"/>
      <c r="SEW4" s="5"/>
      <c r="SEX4" s="5"/>
      <c r="SEY4" s="5"/>
      <c r="SEZ4" s="5"/>
      <c r="SFA4" s="5"/>
      <c r="SFB4" s="5"/>
      <c r="SFC4" s="5"/>
      <c r="SFD4" s="5"/>
      <c r="SFE4" s="5"/>
      <c r="SFF4" s="5"/>
      <c r="SFG4" s="5"/>
      <c r="SFH4" s="5"/>
      <c r="SFI4" s="5"/>
      <c r="SFJ4" s="5"/>
      <c r="SFK4" s="5"/>
      <c r="SFL4" s="5"/>
      <c r="SFM4" s="5"/>
      <c r="SFN4" s="5"/>
      <c r="SFO4" s="5"/>
      <c r="SFP4" s="5"/>
      <c r="SFQ4" s="5"/>
      <c r="SFR4" s="5"/>
      <c r="SFS4" s="5"/>
      <c r="SFT4" s="5"/>
      <c r="SFU4" s="5"/>
      <c r="SFV4" s="5"/>
      <c r="SFW4" s="5"/>
      <c r="SFX4" s="5"/>
      <c r="SFY4" s="5"/>
      <c r="SFZ4" s="5"/>
      <c r="SGA4" s="5"/>
      <c r="SGB4" s="5"/>
      <c r="SGC4" s="5"/>
      <c r="SGD4" s="5"/>
      <c r="SGE4" s="5"/>
      <c r="SGF4" s="5"/>
      <c r="SGG4" s="5"/>
      <c r="SGH4" s="5"/>
      <c r="SGI4" s="5"/>
      <c r="SGJ4" s="5"/>
      <c r="SGK4" s="5"/>
      <c r="SGL4" s="5"/>
      <c r="SGM4" s="5"/>
      <c r="SGN4" s="5"/>
      <c r="SGO4" s="5"/>
      <c r="SGP4" s="5"/>
      <c r="SGQ4" s="5"/>
      <c r="SGR4" s="5"/>
      <c r="SGS4" s="5"/>
      <c r="SGT4" s="5"/>
      <c r="SGU4" s="5"/>
      <c r="SGV4" s="5"/>
      <c r="SGW4" s="5"/>
      <c r="SGX4" s="5"/>
      <c r="SGY4" s="5"/>
      <c r="SGZ4" s="5"/>
      <c r="SHA4" s="5"/>
      <c r="SHB4" s="5"/>
      <c r="SHC4" s="5"/>
      <c r="SHD4" s="5"/>
      <c r="SHE4" s="5"/>
      <c r="SHF4" s="5"/>
      <c r="SHG4" s="5"/>
      <c r="SHH4" s="5"/>
      <c r="SHI4" s="5"/>
      <c r="SHJ4" s="5"/>
      <c r="SHK4" s="5"/>
      <c r="SHL4" s="5"/>
      <c r="SHM4" s="5"/>
      <c r="SHN4" s="5"/>
      <c r="SHO4" s="5"/>
      <c r="SHP4" s="5"/>
      <c r="SHQ4" s="5"/>
      <c r="SHR4" s="5"/>
      <c r="SHS4" s="5"/>
      <c r="SHT4" s="5"/>
      <c r="SHU4" s="5"/>
      <c r="SHV4" s="5"/>
      <c r="SHW4" s="5"/>
      <c r="SHX4" s="5"/>
      <c r="SHY4" s="5"/>
      <c r="SHZ4" s="5"/>
      <c r="SIA4" s="5"/>
      <c r="SIB4" s="5"/>
      <c r="SIC4" s="5"/>
      <c r="SID4" s="5"/>
      <c r="SIE4" s="5"/>
      <c r="SIF4" s="5"/>
      <c r="SIG4" s="5"/>
      <c r="SIH4" s="5"/>
      <c r="SII4" s="5"/>
      <c r="SIJ4" s="5"/>
      <c r="SIK4" s="5"/>
      <c r="SIL4" s="5"/>
      <c r="SIM4" s="5"/>
      <c r="SIN4" s="5"/>
      <c r="SIO4" s="5"/>
      <c r="SIP4" s="5"/>
      <c r="SIQ4" s="5"/>
      <c r="SIR4" s="5"/>
      <c r="SIS4" s="5"/>
      <c r="SIT4" s="5"/>
      <c r="SIU4" s="5"/>
      <c r="SIV4" s="5"/>
      <c r="SIW4" s="5"/>
      <c r="SIX4" s="5"/>
      <c r="SIY4" s="5"/>
      <c r="SIZ4" s="5"/>
      <c r="SJA4" s="5"/>
      <c r="SJB4" s="5"/>
      <c r="SJC4" s="5"/>
      <c r="SJD4" s="5"/>
      <c r="SJE4" s="5"/>
      <c r="SJF4" s="5"/>
      <c r="SJG4" s="5"/>
      <c r="SJH4" s="5"/>
      <c r="SJI4" s="5"/>
      <c r="SJJ4" s="5"/>
      <c r="SJK4" s="5"/>
      <c r="SJL4" s="5"/>
      <c r="SJM4" s="5"/>
      <c r="SJN4" s="5"/>
      <c r="SJO4" s="5"/>
      <c r="SJP4" s="5"/>
      <c r="SJQ4" s="5"/>
      <c r="SJR4" s="5"/>
      <c r="SJS4" s="5"/>
      <c r="SJT4" s="5"/>
      <c r="SJU4" s="5"/>
      <c r="SJV4" s="5"/>
      <c r="SJW4" s="5"/>
      <c r="SJX4" s="5"/>
      <c r="SJY4" s="5"/>
      <c r="SJZ4" s="5"/>
      <c r="SKA4" s="5"/>
      <c r="SKB4" s="5"/>
      <c r="SKC4" s="5"/>
      <c r="SKD4" s="5"/>
      <c r="SKE4" s="5"/>
      <c r="SKF4" s="5"/>
      <c r="SKG4" s="5"/>
      <c r="SKH4" s="5"/>
      <c r="SKI4" s="5"/>
      <c r="SKJ4" s="5"/>
      <c r="SKK4" s="5"/>
      <c r="SKL4" s="5"/>
      <c r="SKM4" s="5"/>
      <c r="SKN4" s="5"/>
      <c r="SKO4" s="5"/>
      <c r="SKP4" s="5"/>
      <c r="SKQ4" s="5"/>
      <c r="SKR4" s="5"/>
      <c r="SKS4" s="5"/>
      <c r="SKT4" s="5"/>
      <c r="SKU4" s="5"/>
      <c r="SKV4" s="5"/>
      <c r="SKW4" s="5"/>
      <c r="SKX4" s="5"/>
      <c r="SKY4" s="5"/>
      <c r="SKZ4" s="5"/>
      <c r="SLA4" s="5"/>
      <c r="SLB4" s="5"/>
      <c r="SLC4" s="5"/>
      <c r="SLD4" s="5"/>
      <c r="SLE4" s="5"/>
      <c r="SLF4" s="5"/>
      <c r="SLG4" s="5"/>
      <c r="SLH4" s="5"/>
      <c r="SLI4" s="5"/>
      <c r="SLJ4" s="5"/>
      <c r="SLK4" s="5"/>
      <c r="SLL4" s="5"/>
      <c r="SLM4" s="5"/>
      <c r="SLN4" s="5"/>
      <c r="SLO4" s="5"/>
      <c r="SLP4" s="5"/>
      <c r="SLQ4" s="5"/>
      <c r="SLR4" s="5"/>
      <c r="SLS4" s="5"/>
      <c r="SLT4" s="5"/>
      <c r="SLU4" s="5"/>
      <c r="SLV4" s="5"/>
      <c r="SLW4" s="5"/>
      <c r="SLX4" s="5"/>
      <c r="SLY4" s="5"/>
      <c r="SLZ4" s="5"/>
      <c r="SMA4" s="5"/>
      <c r="SMB4" s="5"/>
      <c r="SMC4" s="5"/>
      <c r="SMD4" s="5"/>
      <c r="SME4" s="5"/>
      <c r="SMF4" s="5"/>
      <c r="SMG4" s="5"/>
      <c r="SMH4" s="5"/>
      <c r="SMI4" s="5"/>
      <c r="SMJ4" s="5"/>
      <c r="SMK4" s="5"/>
      <c r="SML4" s="5"/>
      <c r="SMM4" s="5"/>
      <c r="SMN4" s="5"/>
      <c r="SMO4" s="5"/>
      <c r="SMP4" s="5"/>
      <c r="SMQ4" s="5"/>
      <c r="SMR4" s="5"/>
      <c r="SMS4" s="5"/>
      <c r="SMT4" s="5"/>
      <c r="SMU4" s="5"/>
      <c r="SMV4" s="5"/>
      <c r="SMW4" s="5"/>
      <c r="SMX4" s="5"/>
      <c r="SMY4" s="5"/>
      <c r="SMZ4" s="5"/>
      <c r="SNA4" s="5"/>
      <c r="SNB4" s="5"/>
      <c r="SNC4" s="5"/>
      <c r="SND4" s="5"/>
      <c r="SNE4" s="5"/>
      <c r="SNF4" s="5"/>
      <c r="SNG4" s="5"/>
      <c r="SNH4" s="5"/>
      <c r="SNI4" s="5"/>
      <c r="SNJ4" s="5"/>
      <c r="SNK4" s="5"/>
      <c r="SNL4" s="5"/>
      <c r="SNM4" s="5"/>
      <c r="SNN4" s="5"/>
      <c r="SNO4" s="5"/>
      <c r="SNP4" s="5"/>
      <c r="SNQ4" s="5"/>
      <c r="SNR4" s="5"/>
      <c r="SNS4" s="5"/>
      <c r="SNT4" s="5"/>
      <c r="SNU4" s="5"/>
      <c r="SNV4" s="5"/>
      <c r="SNW4" s="5"/>
      <c r="SNX4" s="5"/>
      <c r="SNY4" s="5"/>
      <c r="SNZ4" s="5"/>
      <c r="SOA4" s="5"/>
      <c r="SOB4" s="5"/>
      <c r="SOC4" s="5"/>
      <c r="SOD4" s="5"/>
      <c r="SOE4" s="5"/>
      <c r="SOF4" s="5"/>
      <c r="SOG4" s="5"/>
      <c r="SOH4" s="5"/>
      <c r="SOI4" s="5"/>
      <c r="SOJ4" s="5"/>
      <c r="SOK4" s="5"/>
      <c r="SOL4" s="5"/>
      <c r="SOM4" s="5"/>
      <c r="SON4" s="5"/>
      <c r="SOO4" s="5"/>
      <c r="SOP4" s="5"/>
      <c r="SOQ4" s="5"/>
      <c r="SOR4" s="5"/>
      <c r="SOS4" s="5"/>
      <c r="SOT4" s="5"/>
      <c r="SOU4" s="5"/>
      <c r="SOV4" s="5"/>
      <c r="SOW4" s="5"/>
      <c r="SOX4" s="5"/>
      <c r="SOY4" s="5"/>
      <c r="SOZ4" s="5"/>
      <c r="SPA4" s="5"/>
      <c r="SPB4" s="5"/>
      <c r="SPC4" s="5"/>
      <c r="SPD4" s="5"/>
      <c r="SPE4" s="5"/>
      <c r="SPF4" s="5"/>
      <c r="SPG4" s="5"/>
      <c r="SPH4" s="5"/>
      <c r="SPI4" s="5"/>
      <c r="SPJ4" s="5"/>
      <c r="SPK4" s="5"/>
      <c r="SPL4" s="5"/>
      <c r="SPM4" s="5"/>
      <c r="SPN4" s="5"/>
      <c r="SPO4" s="5"/>
      <c r="SPP4" s="5"/>
      <c r="SPQ4" s="5"/>
      <c r="SPR4" s="5"/>
      <c r="SPS4" s="5"/>
      <c r="SPT4" s="5"/>
      <c r="SPU4" s="5"/>
      <c r="SPV4" s="5"/>
      <c r="SPW4" s="5"/>
      <c r="SPX4" s="5"/>
      <c r="SPY4" s="5"/>
      <c r="SPZ4" s="5"/>
      <c r="SQA4" s="5"/>
      <c r="SQB4" s="5"/>
      <c r="SQC4" s="5"/>
      <c r="SQD4" s="5"/>
      <c r="SQE4" s="5"/>
      <c r="SQF4" s="5"/>
      <c r="SQG4" s="5"/>
      <c r="SQH4" s="5"/>
      <c r="SQI4" s="5"/>
      <c r="SQJ4" s="5"/>
      <c r="SQK4" s="5"/>
      <c r="SQL4" s="5"/>
      <c r="SQM4" s="5"/>
      <c r="SQN4" s="5"/>
      <c r="SQO4" s="5"/>
      <c r="SQP4" s="5"/>
      <c r="SQQ4" s="5"/>
      <c r="SQR4" s="5"/>
      <c r="SQS4" s="5"/>
      <c r="SQT4" s="5"/>
      <c r="SQU4" s="5"/>
      <c r="SQV4" s="5"/>
      <c r="SQW4" s="5"/>
      <c r="SQX4" s="5"/>
      <c r="SQY4" s="5"/>
      <c r="SQZ4" s="5"/>
      <c r="SRA4" s="5"/>
      <c r="SRB4" s="5"/>
      <c r="SRC4" s="5"/>
      <c r="SRD4" s="5"/>
      <c r="SRE4" s="5"/>
      <c r="SRF4" s="5"/>
      <c r="SRG4" s="5"/>
      <c r="SRH4" s="5"/>
      <c r="SRI4" s="5"/>
      <c r="SRJ4" s="5"/>
      <c r="SRK4" s="5"/>
      <c r="SRL4" s="5"/>
      <c r="SRM4" s="5"/>
      <c r="SRN4" s="5"/>
      <c r="SRO4" s="5"/>
      <c r="SRP4" s="5"/>
      <c r="SRQ4" s="5"/>
      <c r="SRR4" s="5"/>
      <c r="SRS4" s="5"/>
      <c r="SRT4" s="5"/>
      <c r="SRU4" s="5"/>
      <c r="SRV4" s="5"/>
      <c r="SRW4" s="5"/>
      <c r="SRX4" s="5"/>
      <c r="SRY4" s="5"/>
      <c r="SRZ4" s="5"/>
      <c r="SSA4" s="5"/>
      <c r="SSB4" s="5"/>
      <c r="SSC4" s="5"/>
      <c r="SSD4" s="5"/>
      <c r="SSE4" s="5"/>
      <c r="SSF4" s="5"/>
      <c r="SSG4" s="5"/>
      <c r="SSH4" s="5"/>
      <c r="SSI4" s="5"/>
      <c r="SSJ4" s="5"/>
      <c r="SSK4" s="5"/>
      <c r="SSL4" s="5"/>
      <c r="SSM4" s="5"/>
      <c r="SSN4" s="5"/>
      <c r="SSO4" s="5"/>
      <c r="SSP4" s="5"/>
      <c r="SSQ4" s="5"/>
      <c r="SSR4" s="5"/>
      <c r="SSS4" s="5"/>
      <c r="SST4" s="5"/>
      <c r="SSU4" s="5"/>
      <c r="SSV4" s="5"/>
      <c r="SSW4" s="5"/>
      <c r="SSX4" s="5"/>
      <c r="SSY4" s="5"/>
      <c r="SSZ4" s="5"/>
      <c r="STA4" s="5"/>
      <c r="STB4" s="5"/>
      <c r="STC4" s="5"/>
      <c r="STD4" s="5"/>
      <c r="STE4" s="5"/>
      <c r="STF4" s="5"/>
      <c r="STG4" s="5"/>
      <c r="STH4" s="5"/>
      <c r="STI4" s="5"/>
      <c r="STJ4" s="5"/>
      <c r="STK4" s="5"/>
      <c r="STL4" s="5"/>
      <c r="STM4" s="5"/>
      <c r="STN4" s="5"/>
      <c r="STO4" s="5"/>
      <c r="STP4" s="5"/>
      <c r="STQ4" s="5"/>
      <c r="STR4" s="5"/>
      <c r="STS4" s="5"/>
      <c r="STT4" s="5"/>
      <c r="STU4" s="5"/>
      <c r="STV4" s="5"/>
      <c r="STW4" s="5"/>
      <c r="STX4" s="5"/>
      <c r="STY4" s="5"/>
      <c r="STZ4" s="5"/>
      <c r="SUA4" s="5"/>
      <c r="SUB4" s="5"/>
      <c r="SUC4" s="5"/>
      <c r="SUD4" s="5"/>
      <c r="SUE4" s="5"/>
      <c r="SUF4" s="5"/>
      <c r="SUG4" s="5"/>
      <c r="SUH4" s="5"/>
      <c r="SUI4" s="5"/>
      <c r="SUJ4" s="5"/>
      <c r="SUK4" s="5"/>
      <c r="SUL4" s="5"/>
      <c r="SUM4" s="5"/>
      <c r="SUN4" s="5"/>
      <c r="SUO4" s="5"/>
      <c r="SUP4" s="5"/>
      <c r="SUQ4" s="5"/>
      <c r="SUR4" s="5"/>
      <c r="SUS4" s="5"/>
      <c r="SUT4" s="5"/>
      <c r="SUU4" s="5"/>
      <c r="SUV4" s="5"/>
      <c r="SUW4" s="5"/>
      <c r="SUX4" s="5"/>
      <c r="SUY4" s="5"/>
      <c r="SUZ4" s="5"/>
      <c r="SVA4" s="5"/>
      <c r="SVB4" s="5"/>
      <c r="SVC4" s="5"/>
      <c r="SVD4" s="5"/>
      <c r="SVE4" s="5"/>
      <c r="SVF4" s="5"/>
      <c r="SVG4" s="5"/>
      <c r="SVH4" s="5"/>
      <c r="SVI4" s="5"/>
      <c r="SVJ4" s="5"/>
      <c r="SVK4" s="5"/>
      <c r="SVL4" s="5"/>
      <c r="SVM4" s="5"/>
      <c r="SVN4" s="5"/>
      <c r="SVO4" s="5"/>
      <c r="SVP4" s="5"/>
      <c r="SVQ4" s="5"/>
      <c r="SVR4" s="5"/>
      <c r="SVS4" s="5"/>
      <c r="SVT4" s="5"/>
      <c r="SVU4" s="5"/>
      <c r="SVV4" s="5"/>
      <c r="SVW4" s="5"/>
      <c r="SVX4" s="5"/>
      <c r="SVY4" s="5"/>
      <c r="SVZ4" s="5"/>
      <c r="SWA4" s="5"/>
      <c r="SWB4" s="5"/>
      <c r="SWC4" s="5"/>
      <c r="SWD4" s="5"/>
      <c r="SWE4" s="5"/>
      <c r="SWF4" s="5"/>
      <c r="SWG4" s="5"/>
      <c r="SWH4" s="5"/>
      <c r="SWI4" s="5"/>
      <c r="SWJ4" s="5"/>
      <c r="SWK4" s="5"/>
      <c r="SWL4" s="5"/>
      <c r="SWM4" s="5"/>
      <c r="SWN4" s="5"/>
      <c r="SWO4" s="5"/>
      <c r="SWP4" s="5"/>
      <c r="SWQ4" s="5"/>
      <c r="SWR4" s="5"/>
      <c r="SWS4" s="5"/>
      <c r="SWT4" s="5"/>
      <c r="SWU4" s="5"/>
      <c r="SWV4" s="5"/>
      <c r="SWW4" s="5"/>
      <c r="SWX4" s="5"/>
      <c r="SWY4" s="5"/>
      <c r="SWZ4" s="5"/>
      <c r="SXA4" s="5"/>
      <c r="SXB4" s="5"/>
      <c r="SXC4" s="5"/>
      <c r="SXD4" s="5"/>
      <c r="SXE4" s="5"/>
      <c r="SXF4" s="5"/>
      <c r="SXG4" s="5"/>
      <c r="SXH4" s="5"/>
      <c r="SXI4" s="5"/>
      <c r="SXJ4" s="5"/>
      <c r="SXK4" s="5"/>
      <c r="SXL4" s="5"/>
      <c r="SXM4" s="5"/>
      <c r="SXN4" s="5"/>
      <c r="SXO4" s="5"/>
      <c r="SXP4" s="5"/>
      <c r="SXQ4" s="5"/>
      <c r="SXR4" s="5"/>
      <c r="SXS4" s="5"/>
      <c r="SXT4" s="5"/>
      <c r="SXU4" s="5"/>
      <c r="SXV4" s="5"/>
      <c r="SXW4" s="5"/>
      <c r="SXX4" s="5"/>
      <c r="SXY4" s="5"/>
      <c r="SXZ4" s="5"/>
      <c r="SYA4" s="5"/>
      <c r="SYB4" s="5"/>
      <c r="SYC4" s="5"/>
      <c r="SYD4" s="5"/>
      <c r="SYE4" s="5"/>
      <c r="SYF4" s="5"/>
      <c r="SYG4" s="5"/>
      <c r="SYH4" s="5"/>
      <c r="SYI4" s="5"/>
      <c r="SYJ4" s="5"/>
      <c r="SYK4" s="5"/>
      <c r="SYL4" s="5"/>
      <c r="SYM4" s="5"/>
      <c r="SYN4" s="5"/>
      <c r="SYO4" s="5"/>
      <c r="SYP4" s="5"/>
      <c r="SYQ4" s="5"/>
      <c r="SYR4" s="5"/>
      <c r="SYS4" s="5"/>
      <c r="SYT4" s="5"/>
      <c r="SYU4" s="5"/>
      <c r="SYV4" s="5"/>
      <c r="SYW4" s="5"/>
      <c r="SYX4" s="5"/>
      <c r="SYY4" s="5"/>
      <c r="SYZ4" s="5"/>
      <c r="SZA4" s="5"/>
      <c r="SZB4" s="5"/>
      <c r="SZC4" s="5"/>
      <c r="SZD4" s="5"/>
      <c r="SZE4" s="5"/>
      <c r="SZF4" s="5"/>
      <c r="SZG4" s="5"/>
      <c r="SZH4" s="5"/>
      <c r="SZI4" s="5"/>
      <c r="SZJ4" s="5"/>
      <c r="SZK4" s="5"/>
      <c r="SZL4" s="5"/>
      <c r="SZM4" s="5"/>
      <c r="SZN4" s="5"/>
      <c r="SZO4" s="5"/>
      <c r="SZP4" s="5"/>
      <c r="SZQ4" s="5"/>
      <c r="SZR4" s="5"/>
      <c r="SZS4" s="5"/>
      <c r="SZT4" s="5"/>
      <c r="SZU4" s="5"/>
      <c r="SZV4" s="5"/>
      <c r="SZW4" s="5"/>
      <c r="SZX4" s="5"/>
      <c r="SZY4" s="5"/>
      <c r="SZZ4" s="5"/>
      <c r="TAA4" s="5"/>
      <c r="TAB4" s="5"/>
      <c r="TAC4" s="5"/>
      <c r="TAD4" s="5"/>
      <c r="TAE4" s="5"/>
      <c r="TAF4" s="5"/>
      <c r="TAG4" s="5"/>
      <c r="TAH4" s="5"/>
      <c r="TAI4" s="5"/>
      <c r="TAJ4" s="5"/>
      <c r="TAK4" s="5"/>
      <c r="TAL4" s="5"/>
      <c r="TAM4" s="5"/>
      <c r="TAN4" s="5"/>
      <c r="TAO4" s="5"/>
      <c r="TAP4" s="5"/>
      <c r="TAQ4" s="5"/>
      <c r="TAR4" s="5"/>
      <c r="TAS4" s="5"/>
      <c r="TAT4" s="5"/>
      <c r="TAU4" s="5"/>
      <c r="TAV4" s="5"/>
      <c r="TAW4" s="5"/>
      <c r="TAX4" s="5"/>
      <c r="TAY4" s="5"/>
      <c r="TAZ4" s="5"/>
      <c r="TBA4" s="5"/>
      <c r="TBB4" s="5"/>
      <c r="TBC4" s="5"/>
      <c r="TBD4" s="5"/>
      <c r="TBE4" s="5"/>
      <c r="TBF4" s="5"/>
      <c r="TBG4" s="5"/>
      <c r="TBH4" s="5"/>
      <c r="TBI4" s="5"/>
      <c r="TBJ4" s="5"/>
      <c r="TBK4" s="5"/>
      <c r="TBL4" s="5"/>
      <c r="TBM4" s="5"/>
      <c r="TBN4" s="5"/>
      <c r="TBO4" s="5"/>
      <c r="TBP4" s="5"/>
      <c r="TBQ4" s="5"/>
      <c r="TBR4" s="5"/>
      <c r="TBS4" s="5"/>
      <c r="TBT4" s="5"/>
      <c r="TBU4" s="5"/>
      <c r="TBV4" s="5"/>
      <c r="TBW4" s="5"/>
      <c r="TBX4" s="5"/>
      <c r="TBY4" s="5"/>
      <c r="TBZ4" s="5"/>
      <c r="TCA4" s="5"/>
      <c r="TCB4" s="5"/>
      <c r="TCC4" s="5"/>
      <c r="TCD4" s="5"/>
      <c r="TCE4" s="5"/>
      <c r="TCF4" s="5"/>
      <c r="TCG4" s="5"/>
      <c r="TCH4" s="5"/>
      <c r="TCI4" s="5"/>
      <c r="TCJ4" s="5"/>
      <c r="TCK4" s="5"/>
      <c r="TCL4" s="5"/>
      <c r="TCM4" s="5"/>
      <c r="TCN4" s="5"/>
      <c r="TCO4" s="5"/>
      <c r="TCP4" s="5"/>
      <c r="TCQ4" s="5"/>
      <c r="TCR4" s="5"/>
      <c r="TCS4" s="5"/>
      <c r="TCT4" s="5"/>
      <c r="TCU4" s="5"/>
      <c r="TCV4" s="5"/>
      <c r="TCW4" s="5"/>
      <c r="TCX4" s="5"/>
      <c r="TCY4" s="5"/>
      <c r="TCZ4" s="5"/>
      <c r="TDA4" s="5"/>
      <c r="TDB4" s="5"/>
      <c r="TDC4" s="5"/>
      <c r="TDD4" s="5"/>
      <c r="TDE4" s="5"/>
      <c r="TDF4" s="5"/>
      <c r="TDG4" s="5"/>
      <c r="TDH4" s="5"/>
      <c r="TDI4" s="5"/>
      <c r="TDJ4" s="5"/>
      <c r="TDK4" s="5"/>
      <c r="TDL4" s="5"/>
      <c r="TDM4" s="5"/>
      <c r="TDN4" s="5"/>
      <c r="TDO4" s="5"/>
      <c r="TDP4" s="5"/>
      <c r="TDQ4" s="5"/>
      <c r="TDR4" s="5"/>
      <c r="TDS4" s="5"/>
      <c r="TDT4" s="5"/>
      <c r="TDU4" s="5"/>
      <c r="TDV4" s="5"/>
      <c r="TDW4" s="5"/>
      <c r="TDX4" s="5"/>
      <c r="TDY4" s="5"/>
      <c r="TDZ4" s="5"/>
      <c r="TEA4" s="5"/>
      <c r="TEB4" s="5"/>
      <c r="TEC4" s="5"/>
      <c r="TED4" s="5"/>
      <c r="TEE4" s="5"/>
      <c r="TEF4" s="5"/>
      <c r="TEG4" s="5"/>
      <c r="TEH4" s="5"/>
      <c r="TEI4" s="5"/>
      <c r="TEJ4" s="5"/>
      <c r="TEK4" s="5"/>
      <c r="TEL4" s="5"/>
      <c r="TEM4" s="5"/>
      <c r="TEN4" s="5"/>
      <c r="TEO4" s="5"/>
      <c r="TEP4" s="5"/>
      <c r="TEQ4" s="5"/>
      <c r="TER4" s="5"/>
      <c r="TES4" s="5"/>
      <c r="TET4" s="5"/>
      <c r="TEU4" s="5"/>
      <c r="TEV4" s="5"/>
      <c r="TEW4" s="5"/>
      <c r="TEX4" s="5"/>
      <c r="TEY4" s="5"/>
      <c r="TEZ4" s="5"/>
      <c r="TFA4" s="5"/>
      <c r="TFB4" s="5"/>
      <c r="TFC4" s="5"/>
      <c r="TFD4" s="5"/>
      <c r="TFE4" s="5"/>
      <c r="TFF4" s="5"/>
      <c r="TFG4" s="5"/>
      <c r="TFH4" s="5"/>
      <c r="TFI4" s="5"/>
      <c r="TFJ4" s="5"/>
      <c r="TFK4" s="5"/>
      <c r="TFL4" s="5"/>
      <c r="TFM4" s="5"/>
      <c r="TFN4" s="5"/>
      <c r="TFO4" s="5"/>
      <c r="TFP4" s="5"/>
      <c r="TFQ4" s="5"/>
      <c r="TFR4" s="5"/>
      <c r="TFS4" s="5"/>
      <c r="TFT4" s="5"/>
      <c r="TFU4" s="5"/>
      <c r="TFV4" s="5"/>
      <c r="TFW4" s="5"/>
      <c r="TFX4" s="5"/>
      <c r="TFY4" s="5"/>
      <c r="TFZ4" s="5"/>
      <c r="TGA4" s="5"/>
      <c r="TGB4" s="5"/>
      <c r="TGC4" s="5"/>
      <c r="TGD4" s="5"/>
      <c r="TGE4" s="5"/>
      <c r="TGF4" s="5"/>
      <c r="TGG4" s="5"/>
      <c r="TGH4" s="5"/>
      <c r="TGI4" s="5"/>
      <c r="TGJ4" s="5"/>
      <c r="TGK4" s="5"/>
      <c r="TGL4" s="5"/>
      <c r="TGM4" s="5"/>
      <c r="TGN4" s="5"/>
      <c r="TGO4" s="5"/>
      <c r="TGP4" s="5"/>
      <c r="TGQ4" s="5"/>
      <c r="TGR4" s="5"/>
      <c r="TGS4" s="5"/>
      <c r="TGT4" s="5"/>
      <c r="TGU4" s="5"/>
      <c r="TGV4" s="5"/>
      <c r="TGW4" s="5"/>
      <c r="TGX4" s="5"/>
      <c r="TGY4" s="5"/>
      <c r="TGZ4" s="5"/>
      <c r="THA4" s="5"/>
      <c r="THB4" s="5"/>
      <c r="THC4" s="5"/>
      <c r="THD4" s="5"/>
      <c r="THE4" s="5"/>
      <c r="THF4" s="5"/>
      <c r="THG4" s="5"/>
      <c r="THH4" s="5"/>
      <c r="THI4" s="5"/>
      <c r="THJ4" s="5"/>
      <c r="THK4" s="5"/>
      <c r="THL4" s="5"/>
      <c r="THM4" s="5"/>
      <c r="THN4" s="5"/>
      <c r="THO4" s="5"/>
      <c r="THP4" s="5"/>
      <c r="THQ4" s="5"/>
      <c r="THR4" s="5"/>
      <c r="THS4" s="5"/>
      <c r="THT4" s="5"/>
      <c r="THU4" s="5"/>
      <c r="THV4" s="5"/>
      <c r="THW4" s="5"/>
      <c r="THX4" s="5"/>
      <c r="THY4" s="5"/>
      <c r="THZ4" s="5"/>
      <c r="TIA4" s="5"/>
      <c r="TIB4" s="5"/>
      <c r="TIC4" s="5"/>
      <c r="TID4" s="5"/>
      <c r="TIE4" s="5"/>
      <c r="TIF4" s="5"/>
      <c r="TIG4" s="5"/>
      <c r="TIH4" s="5"/>
      <c r="TII4" s="5"/>
      <c r="TIJ4" s="5"/>
      <c r="TIK4" s="5"/>
      <c r="TIL4" s="5"/>
      <c r="TIM4" s="5"/>
      <c r="TIN4" s="5"/>
      <c r="TIO4" s="5"/>
      <c r="TIP4" s="5"/>
      <c r="TIQ4" s="5"/>
      <c r="TIR4" s="5"/>
      <c r="TIS4" s="5"/>
      <c r="TIT4" s="5"/>
      <c r="TIU4" s="5"/>
      <c r="TIV4" s="5"/>
      <c r="TIW4" s="5"/>
      <c r="TIX4" s="5"/>
      <c r="TIY4" s="5"/>
      <c r="TIZ4" s="5"/>
      <c r="TJA4" s="5"/>
      <c r="TJB4" s="5"/>
      <c r="TJC4" s="5"/>
      <c r="TJD4" s="5"/>
      <c r="TJE4" s="5"/>
      <c r="TJF4" s="5"/>
      <c r="TJG4" s="5"/>
      <c r="TJH4" s="5"/>
      <c r="TJI4" s="5"/>
      <c r="TJJ4" s="5"/>
      <c r="TJK4" s="5"/>
      <c r="TJL4" s="5"/>
      <c r="TJM4" s="5"/>
      <c r="TJN4" s="5"/>
      <c r="TJO4" s="5"/>
      <c r="TJP4" s="5"/>
      <c r="TJQ4" s="5"/>
      <c r="TJR4" s="5"/>
      <c r="TJS4" s="5"/>
      <c r="TJT4" s="5"/>
      <c r="TJU4" s="5"/>
      <c r="TJV4" s="5"/>
      <c r="TJW4" s="5"/>
      <c r="TJX4" s="5"/>
      <c r="TJY4" s="5"/>
      <c r="TJZ4" s="5"/>
      <c r="TKA4" s="5"/>
      <c r="TKB4" s="5"/>
      <c r="TKC4" s="5"/>
      <c r="TKD4" s="5"/>
      <c r="TKE4" s="5"/>
      <c r="TKF4" s="5"/>
      <c r="TKG4" s="5"/>
      <c r="TKH4" s="5"/>
      <c r="TKI4" s="5"/>
      <c r="TKJ4" s="5"/>
      <c r="TKK4" s="5"/>
      <c r="TKL4" s="5"/>
      <c r="TKM4" s="5"/>
      <c r="TKN4" s="5"/>
      <c r="TKO4" s="5"/>
      <c r="TKP4" s="5"/>
      <c r="TKQ4" s="5"/>
      <c r="TKR4" s="5"/>
      <c r="TKS4" s="5"/>
      <c r="TKT4" s="5"/>
      <c r="TKU4" s="5"/>
      <c r="TKV4" s="5"/>
      <c r="TKW4" s="5"/>
      <c r="TKX4" s="5"/>
      <c r="TKY4" s="5"/>
      <c r="TKZ4" s="5"/>
      <c r="TLA4" s="5"/>
      <c r="TLB4" s="5"/>
      <c r="TLC4" s="5"/>
      <c r="TLD4" s="5"/>
      <c r="TLE4" s="5"/>
      <c r="TLF4" s="5"/>
      <c r="TLG4" s="5"/>
      <c r="TLH4" s="5"/>
      <c r="TLI4" s="5"/>
      <c r="TLJ4" s="5"/>
      <c r="TLK4" s="5"/>
      <c r="TLL4" s="5"/>
      <c r="TLM4" s="5"/>
      <c r="TLN4" s="5"/>
      <c r="TLO4" s="5"/>
      <c r="TLP4" s="5"/>
      <c r="TLQ4" s="5"/>
      <c r="TLR4" s="5"/>
      <c r="TLS4" s="5"/>
      <c r="TLT4" s="5"/>
      <c r="TLU4" s="5"/>
      <c r="TLV4" s="5"/>
      <c r="TLW4" s="5"/>
      <c r="TLX4" s="5"/>
      <c r="TLY4" s="5"/>
      <c r="TLZ4" s="5"/>
      <c r="TMA4" s="5"/>
      <c r="TMB4" s="5"/>
      <c r="TMC4" s="5"/>
      <c r="TMD4" s="5"/>
      <c r="TME4" s="5"/>
      <c r="TMF4" s="5"/>
      <c r="TMG4" s="5"/>
      <c r="TMH4" s="5"/>
      <c r="TMI4" s="5"/>
      <c r="TMJ4" s="5"/>
      <c r="TMK4" s="5"/>
      <c r="TML4" s="5"/>
      <c r="TMM4" s="5"/>
      <c r="TMN4" s="5"/>
      <c r="TMO4" s="5"/>
      <c r="TMP4" s="5"/>
      <c r="TMQ4" s="5"/>
      <c r="TMR4" s="5"/>
      <c r="TMS4" s="5"/>
      <c r="TMT4" s="5"/>
      <c r="TMU4" s="5"/>
      <c r="TMV4" s="5"/>
      <c r="TMW4" s="5"/>
      <c r="TMX4" s="5"/>
      <c r="TMY4" s="5"/>
      <c r="TMZ4" s="5"/>
      <c r="TNA4" s="5"/>
      <c r="TNB4" s="5"/>
      <c r="TNC4" s="5"/>
      <c r="TND4" s="5"/>
      <c r="TNE4" s="5"/>
      <c r="TNF4" s="5"/>
      <c r="TNG4" s="5"/>
      <c r="TNH4" s="5"/>
      <c r="TNI4" s="5"/>
      <c r="TNJ4" s="5"/>
      <c r="TNK4" s="5"/>
      <c r="TNL4" s="5"/>
      <c r="TNM4" s="5"/>
      <c r="TNN4" s="5"/>
      <c r="TNO4" s="5"/>
      <c r="TNP4" s="5"/>
      <c r="TNQ4" s="5"/>
      <c r="TNR4" s="5"/>
      <c r="TNS4" s="5"/>
      <c r="TNT4" s="5"/>
      <c r="TNU4" s="5"/>
      <c r="TNV4" s="5"/>
      <c r="TNW4" s="5"/>
      <c r="TNX4" s="5"/>
      <c r="TNY4" s="5"/>
      <c r="TNZ4" s="5"/>
      <c r="TOA4" s="5"/>
      <c r="TOB4" s="5"/>
      <c r="TOC4" s="5"/>
      <c r="TOD4" s="5"/>
      <c r="TOE4" s="5"/>
      <c r="TOF4" s="5"/>
      <c r="TOG4" s="5"/>
      <c r="TOH4" s="5"/>
      <c r="TOI4" s="5"/>
      <c r="TOJ4" s="5"/>
      <c r="TOK4" s="5"/>
      <c r="TOL4" s="5"/>
      <c r="TOM4" s="5"/>
      <c r="TON4" s="5"/>
      <c r="TOO4" s="5"/>
      <c r="TOP4" s="5"/>
      <c r="TOQ4" s="5"/>
      <c r="TOR4" s="5"/>
      <c r="TOS4" s="5"/>
      <c r="TOT4" s="5"/>
      <c r="TOU4" s="5"/>
      <c r="TOV4" s="5"/>
      <c r="TOW4" s="5"/>
      <c r="TOX4" s="5"/>
      <c r="TOY4" s="5"/>
      <c r="TOZ4" s="5"/>
      <c r="TPA4" s="5"/>
      <c r="TPB4" s="5"/>
      <c r="TPC4" s="5"/>
      <c r="TPD4" s="5"/>
      <c r="TPE4" s="5"/>
      <c r="TPF4" s="5"/>
      <c r="TPG4" s="5"/>
      <c r="TPH4" s="5"/>
      <c r="TPI4" s="5"/>
      <c r="TPJ4" s="5"/>
      <c r="TPK4" s="5"/>
      <c r="TPL4" s="5"/>
      <c r="TPM4" s="5"/>
      <c r="TPN4" s="5"/>
      <c r="TPO4" s="5"/>
      <c r="TPP4" s="5"/>
      <c r="TPQ4" s="5"/>
      <c r="TPR4" s="5"/>
      <c r="TPS4" s="5"/>
      <c r="TPT4" s="5"/>
      <c r="TPU4" s="5"/>
      <c r="TPV4" s="5"/>
      <c r="TPW4" s="5"/>
      <c r="TPX4" s="5"/>
      <c r="TPY4" s="5"/>
      <c r="TPZ4" s="5"/>
      <c r="TQA4" s="5"/>
      <c r="TQB4" s="5"/>
      <c r="TQC4" s="5"/>
      <c r="TQD4" s="5"/>
      <c r="TQE4" s="5"/>
      <c r="TQF4" s="5"/>
      <c r="TQG4" s="5"/>
      <c r="TQH4" s="5"/>
      <c r="TQI4" s="5"/>
      <c r="TQJ4" s="5"/>
      <c r="TQK4" s="5"/>
      <c r="TQL4" s="5"/>
      <c r="TQM4" s="5"/>
      <c r="TQN4" s="5"/>
      <c r="TQO4" s="5"/>
      <c r="TQP4" s="5"/>
      <c r="TQQ4" s="5"/>
      <c r="TQR4" s="5"/>
      <c r="TQS4" s="5"/>
      <c r="TQT4" s="5"/>
      <c r="TQU4" s="5"/>
      <c r="TQV4" s="5"/>
      <c r="TQW4" s="5"/>
      <c r="TQX4" s="5"/>
      <c r="TQY4" s="5"/>
      <c r="TQZ4" s="5"/>
      <c r="TRA4" s="5"/>
      <c r="TRB4" s="5"/>
      <c r="TRC4" s="5"/>
      <c r="TRD4" s="5"/>
      <c r="TRE4" s="5"/>
      <c r="TRF4" s="5"/>
      <c r="TRG4" s="5"/>
      <c r="TRH4" s="5"/>
      <c r="TRI4" s="5"/>
      <c r="TRJ4" s="5"/>
      <c r="TRK4" s="5"/>
      <c r="TRL4" s="5"/>
      <c r="TRM4" s="5"/>
      <c r="TRN4" s="5"/>
      <c r="TRO4" s="5"/>
      <c r="TRP4" s="5"/>
      <c r="TRQ4" s="5"/>
      <c r="TRR4" s="5"/>
      <c r="TRS4" s="5"/>
      <c r="TRT4" s="5"/>
      <c r="TRU4" s="5"/>
      <c r="TRV4" s="5"/>
      <c r="TRW4" s="5"/>
      <c r="TRX4" s="5"/>
      <c r="TRY4" s="5"/>
      <c r="TRZ4" s="5"/>
      <c r="TSA4" s="5"/>
      <c r="TSB4" s="5"/>
      <c r="TSC4" s="5"/>
      <c r="TSD4" s="5"/>
      <c r="TSE4" s="5"/>
      <c r="TSF4" s="5"/>
      <c r="TSG4" s="5"/>
      <c r="TSH4" s="5"/>
      <c r="TSI4" s="5"/>
      <c r="TSJ4" s="5"/>
      <c r="TSK4" s="5"/>
      <c r="TSL4" s="5"/>
      <c r="TSM4" s="5"/>
      <c r="TSN4" s="5"/>
      <c r="TSO4" s="5"/>
      <c r="TSP4" s="5"/>
      <c r="TSQ4" s="5"/>
      <c r="TSR4" s="5"/>
      <c r="TSS4" s="5"/>
      <c r="TST4" s="5"/>
      <c r="TSU4" s="5"/>
      <c r="TSV4" s="5"/>
      <c r="TSW4" s="5"/>
      <c r="TSX4" s="5"/>
      <c r="TSY4" s="5"/>
      <c r="TSZ4" s="5"/>
      <c r="TTA4" s="5"/>
      <c r="TTB4" s="5"/>
      <c r="TTC4" s="5"/>
      <c r="TTD4" s="5"/>
      <c r="TTE4" s="5"/>
      <c r="TTF4" s="5"/>
      <c r="TTG4" s="5"/>
      <c r="TTH4" s="5"/>
      <c r="TTI4" s="5"/>
      <c r="TTJ4" s="5"/>
      <c r="TTK4" s="5"/>
      <c r="TTL4" s="5"/>
      <c r="TTM4" s="5"/>
      <c r="TTN4" s="5"/>
      <c r="TTO4" s="5"/>
      <c r="TTP4" s="5"/>
      <c r="TTQ4" s="5"/>
      <c r="TTR4" s="5"/>
      <c r="TTS4" s="5"/>
      <c r="TTT4" s="5"/>
      <c r="TTU4" s="5"/>
      <c r="TTV4" s="5"/>
      <c r="TTW4" s="5"/>
      <c r="TTX4" s="5"/>
      <c r="TTY4" s="5"/>
      <c r="TTZ4" s="5"/>
      <c r="TUA4" s="5"/>
      <c r="TUB4" s="5"/>
      <c r="TUC4" s="5"/>
      <c r="TUD4" s="5"/>
      <c r="TUE4" s="5"/>
      <c r="TUF4" s="5"/>
      <c r="TUG4" s="5"/>
      <c r="TUH4" s="5"/>
      <c r="TUI4" s="5"/>
      <c r="TUJ4" s="5"/>
      <c r="TUK4" s="5"/>
      <c r="TUL4" s="5"/>
      <c r="TUM4" s="5"/>
      <c r="TUN4" s="5"/>
      <c r="TUO4" s="5"/>
      <c r="TUP4" s="5"/>
      <c r="TUQ4" s="5"/>
      <c r="TUR4" s="5"/>
      <c r="TUS4" s="5"/>
      <c r="TUT4" s="5"/>
      <c r="TUU4" s="5"/>
      <c r="TUV4" s="5"/>
      <c r="TUW4" s="5"/>
      <c r="TUX4" s="5"/>
      <c r="TUY4" s="5"/>
      <c r="TUZ4" s="5"/>
      <c r="TVA4" s="5"/>
      <c r="TVB4" s="5"/>
      <c r="TVC4" s="5"/>
      <c r="TVD4" s="5"/>
      <c r="TVE4" s="5"/>
      <c r="TVF4" s="5"/>
      <c r="TVG4" s="5"/>
      <c r="TVH4" s="5"/>
      <c r="TVI4" s="5"/>
      <c r="TVJ4" s="5"/>
      <c r="TVK4" s="5"/>
      <c r="TVL4" s="5"/>
      <c r="TVM4" s="5"/>
      <c r="TVN4" s="5"/>
      <c r="TVO4" s="5"/>
      <c r="TVP4" s="5"/>
      <c r="TVQ4" s="5"/>
      <c r="TVR4" s="5"/>
      <c r="TVS4" s="5"/>
      <c r="TVT4" s="5"/>
      <c r="TVU4" s="5"/>
      <c r="TVV4" s="5"/>
      <c r="TVW4" s="5"/>
      <c r="TVX4" s="5"/>
      <c r="TVY4" s="5"/>
      <c r="TVZ4" s="5"/>
      <c r="TWA4" s="5"/>
      <c r="TWB4" s="5"/>
      <c r="TWC4" s="5"/>
      <c r="TWD4" s="5"/>
      <c r="TWE4" s="5"/>
      <c r="TWF4" s="5"/>
      <c r="TWG4" s="5"/>
      <c r="TWH4" s="5"/>
      <c r="TWI4" s="5"/>
      <c r="TWJ4" s="5"/>
      <c r="TWK4" s="5"/>
      <c r="TWL4" s="5"/>
      <c r="TWM4" s="5"/>
      <c r="TWN4" s="5"/>
      <c r="TWO4" s="5"/>
      <c r="TWP4" s="5"/>
      <c r="TWQ4" s="5"/>
      <c r="TWR4" s="5"/>
      <c r="TWS4" s="5"/>
      <c r="TWT4" s="5"/>
      <c r="TWU4" s="5"/>
      <c r="TWV4" s="5"/>
      <c r="TWW4" s="5"/>
      <c r="TWX4" s="5"/>
      <c r="TWY4" s="5"/>
      <c r="TWZ4" s="5"/>
      <c r="TXA4" s="5"/>
      <c r="TXB4" s="5"/>
      <c r="TXC4" s="5"/>
      <c r="TXD4" s="5"/>
      <c r="TXE4" s="5"/>
      <c r="TXF4" s="5"/>
      <c r="TXG4" s="5"/>
      <c r="TXH4" s="5"/>
      <c r="TXI4" s="5"/>
      <c r="TXJ4" s="5"/>
      <c r="TXK4" s="5"/>
      <c r="TXL4" s="5"/>
      <c r="TXM4" s="5"/>
      <c r="TXN4" s="5"/>
      <c r="TXO4" s="5"/>
      <c r="TXP4" s="5"/>
      <c r="TXQ4" s="5"/>
      <c r="TXR4" s="5"/>
      <c r="TXS4" s="5"/>
      <c r="TXT4" s="5"/>
      <c r="TXU4" s="5"/>
      <c r="TXV4" s="5"/>
      <c r="TXW4" s="5"/>
      <c r="TXX4" s="5"/>
      <c r="TXY4" s="5"/>
      <c r="TXZ4" s="5"/>
      <c r="TYA4" s="5"/>
      <c r="TYB4" s="5"/>
      <c r="TYC4" s="5"/>
      <c r="TYD4" s="5"/>
      <c r="TYE4" s="5"/>
      <c r="TYF4" s="5"/>
      <c r="TYG4" s="5"/>
      <c r="TYH4" s="5"/>
      <c r="TYI4" s="5"/>
      <c r="TYJ4" s="5"/>
      <c r="TYK4" s="5"/>
      <c r="TYL4" s="5"/>
      <c r="TYM4" s="5"/>
      <c r="TYN4" s="5"/>
      <c r="TYO4" s="5"/>
      <c r="TYP4" s="5"/>
      <c r="TYQ4" s="5"/>
      <c r="TYR4" s="5"/>
      <c r="TYS4" s="5"/>
      <c r="TYT4" s="5"/>
      <c r="TYU4" s="5"/>
      <c r="TYV4" s="5"/>
      <c r="TYW4" s="5"/>
      <c r="TYX4" s="5"/>
      <c r="TYY4" s="5"/>
      <c r="TYZ4" s="5"/>
      <c r="TZA4" s="5"/>
      <c r="TZB4" s="5"/>
      <c r="TZC4" s="5"/>
      <c r="TZD4" s="5"/>
      <c r="TZE4" s="5"/>
      <c r="TZF4" s="5"/>
      <c r="TZG4" s="5"/>
      <c r="TZH4" s="5"/>
      <c r="TZI4" s="5"/>
      <c r="TZJ4" s="5"/>
      <c r="TZK4" s="5"/>
      <c r="TZL4" s="5"/>
      <c r="TZM4" s="5"/>
      <c r="TZN4" s="5"/>
      <c r="TZO4" s="5"/>
      <c r="TZP4" s="5"/>
      <c r="TZQ4" s="5"/>
      <c r="TZR4" s="5"/>
      <c r="TZS4" s="5"/>
      <c r="TZT4" s="5"/>
      <c r="TZU4" s="5"/>
      <c r="TZV4" s="5"/>
      <c r="TZW4" s="5"/>
      <c r="TZX4" s="5"/>
      <c r="TZY4" s="5"/>
      <c r="TZZ4" s="5"/>
      <c r="UAA4" s="5"/>
      <c r="UAB4" s="5"/>
      <c r="UAC4" s="5"/>
      <c r="UAD4" s="5"/>
      <c r="UAE4" s="5"/>
      <c r="UAF4" s="5"/>
      <c r="UAG4" s="5"/>
      <c r="UAH4" s="5"/>
      <c r="UAI4" s="5"/>
      <c r="UAJ4" s="5"/>
      <c r="UAK4" s="5"/>
      <c r="UAL4" s="5"/>
      <c r="UAM4" s="5"/>
      <c r="UAN4" s="5"/>
      <c r="UAO4" s="5"/>
      <c r="UAP4" s="5"/>
      <c r="UAQ4" s="5"/>
      <c r="UAR4" s="5"/>
      <c r="UAS4" s="5"/>
      <c r="UAT4" s="5"/>
      <c r="UAU4" s="5"/>
      <c r="UAV4" s="5"/>
      <c r="UAW4" s="5"/>
      <c r="UAX4" s="5"/>
      <c r="UAY4" s="5"/>
      <c r="UAZ4" s="5"/>
      <c r="UBA4" s="5"/>
      <c r="UBB4" s="5"/>
      <c r="UBC4" s="5"/>
      <c r="UBD4" s="5"/>
      <c r="UBE4" s="5"/>
      <c r="UBF4" s="5"/>
      <c r="UBG4" s="5"/>
      <c r="UBH4" s="5"/>
      <c r="UBI4" s="5"/>
      <c r="UBJ4" s="5"/>
      <c r="UBK4" s="5"/>
      <c r="UBL4" s="5"/>
      <c r="UBM4" s="5"/>
      <c r="UBN4" s="5"/>
      <c r="UBO4" s="5"/>
      <c r="UBP4" s="5"/>
      <c r="UBQ4" s="5"/>
      <c r="UBR4" s="5"/>
      <c r="UBS4" s="5"/>
      <c r="UBT4" s="5"/>
      <c r="UBU4" s="5"/>
      <c r="UBV4" s="5"/>
      <c r="UBW4" s="5"/>
      <c r="UBX4" s="5"/>
      <c r="UBY4" s="5"/>
      <c r="UBZ4" s="5"/>
      <c r="UCA4" s="5"/>
      <c r="UCB4" s="5"/>
      <c r="UCC4" s="5"/>
      <c r="UCD4" s="5"/>
      <c r="UCE4" s="5"/>
      <c r="UCF4" s="5"/>
      <c r="UCG4" s="5"/>
      <c r="UCH4" s="5"/>
      <c r="UCI4" s="5"/>
      <c r="UCJ4" s="5"/>
      <c r="UCK4" s="5"/>
      <c r="UCL4" s="5"/>
      <c r="UCM4" s="5"/>
      <c r="UCN4" s="5"/>
      <c r="UCO4" s="5"/>
      <c r="UCP4" s="5"/>
      <c r="UCQ4" s="5"/>
      <c r="UCR4" s="5"/>
      <c r="UCS4" s="5"/>
      <c r="UCT4" s="5"/>
      <c r="UCU4" s="5"/>
      <c r="UCV4" s="5"/>
      <c r="UCW4" s="5"/>
      <c r="UCX4" s="5"/>
      <c r="UCY4" s="5"/>
      <c r="UCZ4" s="5"/>
      <c r="UDA4" s="5"/>
      <c r="UDB4" s="5"/>
      <c r="UDC4" s="5"/>
      <c r="UDD4" s="5"/>
      <c r="UDE4" s="5"/>
      <c r="UDF4" s="5"/>
      <c r="UDG4" s="5"/>
      <c r="UDH4" s="5"/>
      <c r="UDI4" s="5"/>
      <c r="UDJ4" s="5"/>
      <c r="UDK4" s="5"/>
      <c r="UDL4" s="5"/>
      <c r="UDM4" s="5"/>
      <c r="UDN4" s="5"/>
      <c r="UDO4" s="5"/>
      <c r="UDP4" s="5"/>
      <c r="UDQ4" s="5"/>
      <c r="UDR4" s="5"/>
      <c r="UDS4" s="5"/>
      <c r="UDT4" s="5"/>
      <c r="UDU4" s="5"/>
      <c r="UDV4" s="5"/>
      <c r="UDW4" s="5"/>
      <c r="UDX4" s="5"/>
      <c r="UDY4" s="5"/>
      <c r="UDZ4" s="5"/>
      <c r="UEA4" s="5"/>
      <c r="UEB4" s="5"/>
      <c r="UEC4" s="5"/>
      <c r="UED4" s="5"/>
      <c r="UEE4" s="5"/>
      <c r="UEF4" s="5"/>
      <c r="UEG4" s="5"/>
      <c r="UEH4" s="5"/>
      <c r="UEI4" s="5"/>
      <c r="UEJ4" s="5"/>
      <c r="UEK4" s="5"/>
      <c r="UEL4" s="5"/>
      <c r="UEM4" s="5"/>
      <c r="UEN4" s="5"/>
      <c r="UEO4" s="5"/>
      <c r="UEP4" s="5"/>
      <c r="UEQ4" s="5"/>
      <c r="UER4" s="5"/>
      <c r="UES4" s="5"/>
      <c r="UET4" s="5"/>
      <c r="UEU4" s="5"/>
      <c r="UEV4" s="5"/>
      <c r="UEW4" s="5"/>
      <c r="UEX4" s="5"/>
      <c r="UEY4" s="5"/>
      <c r="UEZ4" s="5"/>
      <c r="UFA4" s="5"/>
      <c r="UFB4" s="5"/>
      <c r="UFC4" s="5"/>
      <c r="UFD4" s="5"/>
      <c r="UFE4" s="5"/>
      <c r="UFF4" s="5"/>
      <c r="UFG4" s="5"/>
      <c r="UFH4" s="5"/>
      <c r="UFI4" s="5"/>
      <c r="UFJ4" s="5"/>
      <c r="UFK4" s="5"/>
      <c r="UFL4" s="5"/>
      <c r="UFM4" s="5"/>
      <c r="UFN4" s="5"/>
      <c r="UFO4" s="5"/>
      <c r="UFP4" s="5"/>
      <c r="UFQ4" s="5"/>
      <c r="UFR4" s="5"/>
      <c r="UFS4" s="5"/>
      <c r="UFT4" s="5"/>
      <c r="UFU4" s="5"/>
      <c r="UFV4" s="5"/>
      <c r="UFW4" s="5"/>
      <c r="UFX4" s="5"/>
      <c r="UFY4" s="5"/>
      <c r="UFZ4" s="5"/>
      <c r="UGA4" s="5"/>
      <c r="UGB4" s="5"/>
      <c r="UGC4" s="5"/>
      <c r="UGD4" s="5"/>
      <c r="UGE4" s="5"/>
      <c r="UGF4" s="5"/>
      <c r="UGG4" s="5"/>
      <c r="UGH4" s="5"/>
      <c r="UGI4" s="5"/>
      <c r="UGJ4" s="5"/>
      <c r="UGK4" s="5"/>
      <c r="UGL4" s="5"/>
      <c r="UGM4" s="5"/>
      <c r="UGN4" s="5"/>
      <c r="UGO4" s="5"/>
      <c r="UGP4" s="5"/>
      <c r="UGQ4" s="5"/>
      <c r="UGR4" s="5"/>
      <c r="UGS4" s="5"/>
      <c r="UGT4" s="5"/>
      <c r="UGU4" s="5"/>
      <c r="UGV4" s="5"/>
      <c r="UGW4" s="5"/>
      <c r="UGX4" s="5"/>
      <c r="UGY4" s="5"/>
      <c r="UGZ4" s="5"/>
      <c r="UHA4" s="5"/>
      <c r="UHB4" s="5"/>
      <c r="UHC4" s="5"/>
      <c r="UHD4" s="5"/>
      <c r="UHE4" s="5"/>
      <c r="UHF4" s="5"/>
      <c r="UHG4" s="5"/>
      <c r="UHH4" s="5"/>
      <c r="UHI4" s="5"/>
      <c r="UHJ4" s="5"/>
      <c r="UHK4" s="5"/>
      <c r="UHL4" s="5"/>
      <c r="UHM4" s="5"/>
      <c r="UHN4" s="5"/>
      <c r="UHO4" s="5"/>
      <c r="UHP4" s="5"/>
      <c r="UHQ4" s="5"/>
      <c r="UHR4" s="5"/>
      <c r="UHS4" s="5"/>
      <c r="UHT4" s="5"/>
      <c r="UHU4" s="5"/>
      <c r="UHV4" s="5"/>
      <c r="UHW4" s="5"/>
      <c r="UHX4" s="5"/>
      <c r="UHY4" s="5"/>
      <c r="UHZ4" s="5"/>
      <c r="UIA4" s="5"/>
      <c r="UIB4" s="5"/>
      <c r="UIC4" s="5"/>
      <c r="UID4" s="5"/>
      <c r="UIE4" s="5"/>
      <c r="UIF4" s="5"/>
      <c r="UIG4" s="5"/>
      <c r="UIH4" s="5"/>
      <c r="UII4" s="5"/>
      <c r="UIJ4" s="5"/>
      <c r="UIK4" s="5"/>
      <c r="UIL4" s="5"/>
      <c r="UIM4" s="5"/>
      <c r="UIN4" s="5"/>
      <c r="UIO4" s="5"/>
      <c r="UIP4" s="5"/>
      <c r="UIQ4" s="5"/>
      <c r="UIR4" s="5"/>
      <c r="UIS4" s="5"/>
      <c r="UIT4" s="5"/>
      <c r="UIU4" s="5"/>
      <c r="UIV4" s="5"/>
      <c r="UIW4" s="5"/>
      <c r="UIX4" s="5"/>
      <c r="UIY4" s="5"/>
      <c r="UIZ4" s="5"/>
      <c r="UJA4" s="5"/>
      <c r="UJB4" s="5"/>
      <c r="UJC4" s="5"/>
      <c r="UJD4" s="5"/>
      <c r="UJE4" s="5"/>
      <c r="UJF4" s="5"/>
      <c r="UJG4" s="5"/>
      <c r="UJH4" s="5"/>
      <c r="UJI4" s="5"/>
      <c r="UJJ4" s="5"/>
      <c r="UJK4" s="5"/>
      <c r="UJL4" s="5"/>
      <c r="UJM4" s="5"/>
      <c r="UJN4" s="5"/>
      <c r="UJO4" s="5"/>
      <c r="UJP4" s="5"/>
      <c r="UJQ4" s="5"/>
      <c r="UJR4" s="5"/>
      <c r="UJS4" s="5"/>
      <c r="UJT4" s="5"/>
      <c r="UJU4" s="5"/>
      <c r="UJV4" s="5"/>
      <c r="UJW4" s="5"/>
      <c r="UJX4" s="5"/>
      <c r="UJY4" s="5"/>
      <c r="UJZ4" s="5"/>
      <c r="UKA4" s="5"/>
      <c r="UKB4" s="5"/>
      <c r="UKC4" s="5"/>
      <c r="UKD4" s="5"/>
      <c r="UKE4" s="5"/>
      <c r="UKF4" s="5"/>
      <c r="UKG4" s="5"/>
      <c r="UKH4" s="5"/>
      <c r="UKI4" s="5"/>
      <c r="UKJ4" s="5"/>
      <c r="UKK4" s="5"/>
      <c r="UKL4" s="5"/>
      <c r="UKM4" s="5"/>
      <c r="UKN4" s="5"/>
      <c r="UKO4" s="5"/>
      <c r="UKP4" s="5"/>
      <c r="UKQ4" s="5"/>
      <c r="UKR4" s="5"/>
      <c r="UKS4" s="5"/>
      <c r="UKT4" s="5"/>
      <c r="UKU4" s="5"/>
      <c r="UKV4" s="5"/>
      <c r="UKW4" s="5"/>
      <c r="UKX4" s="5"/>
      <c r="UKY4" s="5"/>
      <c r="UKZ4" s="5"/>
      <c r="ULA4" s="5"/>
      <c r="ULB4" s="5"/>
      <c r="ULC4" s="5"/>
      <c r="ULD4" s="5"/>
      <c r="ULE4" s="5"/>
      <c r="ULF4" s="5"/>
      <c r="ULG4" s="5"/>
      <c r="ULH4" s="5"/>
      <c r="ULI4" s="5"/>
      <c r="ULJ4" s="5"/>
      <c r="ULK4" s="5"/>
      <c r="ULL4" s="5"/>
      <c r="ULM4" s="5"/>
      <c r="ULN4" s="5"/>
      <c r="ULO4" s="5"/>
      <c r="ULP4" s="5"/>
      <c r="ULQ4" s="5"/>
      <c r="ULR4" s="5"/>
      <c r="ULS4" s="5"/>
      <c r="ULT4" s="5"/>
      <c r="ULU4" s="5"/>
      <c r="ULV4" s="5"/>
      <c r="ULW4" s="5"/>
      <c r="ULX4" s="5"/>
      <c r="ULY4" s="5"/>
      <c r="ULZ4" s="5"/>
      <c r="UMA4" s="5"/>
      <c r="UMB4" s="5"/>
      <c r="UMC4" s="5"/>
      <c r="UMD4" s="5"/>
      <c r="UME4" s="5"/>
      <c r="UMF4" s="5"/>
      <c r="UMG4" s="5"/>
      <c r="UMH4" s="5"/>
      <c r="UMI4" s="5"/>
      <c r="UMJ4" s="5"/>
      <c r="UMK4" s="5"/>
      <c r="UML4" s="5"/>
      <c r="UMM4" s="5"/>
      <c r="UMN4" s="5"/>
      <c r="UMO4" s="5"/>
      <c r="UMP4" s="5"/>
      <c r="UMQ4" s="5"/>
      <c r="UMR4" s="5"/>
      <c r="UMS4" s="5"/>
      <c r="UMT4" s="5"/>
      <c r="UMU4" s="5"/>
      <c r="UMV4" s="5"/>
      <c r="UMW4" s="5"/>
      <c r="UMX4" s="5"/>
      <c r="UMY4" s="5"/>
      <c r="UMZ4" s="5"/>
      <c r="UNA4" s="5"/>
      <c r="UNB4" s="5"/>
      <c r="UNC4" s="5"/>
      <c r="UND4" s="5"/>
      <c r="UNE4" s="5"/>
      <c r="UNF4" s="5"/>
      <c r="UNG4" s="5"/>
      <c r="UNH4" s="5"/>
      <c r="UNI4" s="5"/>
      <c r="UNJ4" s="5"/>
      <c r="UNK4" s="5"/>
      <c r="UNL4" s="5"/>
      <c r="UNM4" s="5"/>
      <c r="UNN4" s="5"/>
      <c r="UNO4" s="5"/>
      <c r="UNP4" s="5"/>
      <c r="UNQ4" s="5"/>
      <c r="UNR4" s="5"/>
      <c r="UNS4" s="5"/>
      <c r="UNT4" s="5"/>
      <c r="UNU4" s="5"/>
      <c r="UNV4" s="5"/>
      <c r="UNW4" s="5"/>
      <c r="UNX4" s="5"/>
      <c r="UNY4" s="5"/>
      <c r="UNZ4" s="5"/>
      <c r="UOA4" s="5"/>
      <c r="UOB4" s="5"/>
      <c r="UOC4" s="5"/>
      <c r="UOD4" s="5"/>
      <c r="UOE4" s="5"/>
      <c r="UOF4" s="5"/>
      <c r="UOG4" s="5"/>
      <c r="UOH4" s="5"/>
      <c r="UOI4" s="5"/>
      <c r="UOJ4" s="5"/>
      <c r="UOK4" s="5"/>
      <c r="UOL4" s="5"/>
      <c r="UOM4" s="5"/>
      <c r="UON4" s="5"/>
      <c r="UOO4" s="5"/>
      <c r="UOP4" s="5"/>
      <c r="UOQ4" s="5"/>
      <c r="UOR4" s="5"/>
      <c r="UOS4" s="5"/>
      <c r="UOT4" s="5"/>
      <c r="UOU4" s="5"/>
      <c r="UOV4" s="5"/>
      <c r="UOW4" s="5"/>
      <c r="UOX4" s="5"/>
      <c r="UOY4" s="5"/>
      <c r="UOZ4" s="5"/>
      <c r="UPA4" s="5"/>
      <c r="UPB4" s="5"/>
      <c r="UPC4" s="5"/>
      <c r="UPD4" s="5"/>
      <c r="UPE4" s="5"/>
      <c r="UPF4" s="5"/>
      <c r="UPG4" s="5"/>
      <c r="UPH4" s="5"/>
      <c r="UPI4" s="5"/>
      <c r="UPJ4" s="5"/>
      <c r="UPK4" s="5"/>
      <c r="UPL4" s="5"/>
      <c r="UPM4" s="5"/>
      <c r="UPN4" s="5"/>
      <c r="UPO4" s="5"/>
      <c r="UPP4" s="5"/>
      <c r="UPQ4" s="5"/>
      <c r="UPR4" s="5"/>
      <c r="UPS4" s="5"/>
      <c r="UPT4" s="5"/>
      <c r="UPU4" s="5"/>
      <c r="UPV4" s="5"/>
      <c r="UPW4" s="5"/>
      <c r="UPX4" s="5"/>
      <c r="UPY4" s="5"/>
      <c r="UPZ4" s="5"/>
      <c r="UQA4" s="5"/>
      <c r="UQB4" s="5"/>
      <c r="UQC4" s="5"/>
      <c r="UQD4" s="5"/>
      <c r="UQE4" s="5"/>
      <c r="UQF4" s="5"/>
      <c r="UQG4" s="5"/>
      <c r="UQH4" s="5"/>
      <c r="UQI4" s="5"/>
      <c r="UQJ4" s="5"/>
      <c r="UQK4" s="5"/>
      <c r="UQL4" s="5"/>
      <c r="UQM4" s="5"/>
      <c r="UQN4" s="5"/>
      <c r="UQO4" s="5"/>
      <c r="UQP4" s="5"/>
      <c r="UQQ4" s="5"/>
      <c r="UQR4" s="5"/>
      <c r="UQS4" s="5"/>
      <c r="UQT4" s="5"/>
      <c r="UQU4" s="5"/>
      <c r="UQV4" s="5"/>
      <c r="UQW4" s="5"/>
      <c r="UQX4" s="5"/>
      <c r="UQY4" s="5"/>
      <c r="UQZ4" s="5"/>
      <c r="URA4" s="5"/>
      <c r="URB4" s="5"/>
      <c r="URC4" s="5"/>
      <c r="URD4" s="5"/>
      <c r="URE4" s="5"/>
      <c r="URF4" s="5"/>
      <c r="URG4" s="5"/>
      <c r="URH4" s="5"/>
      <c r="URI4" s="5"/>
      <c r="URJ4" s="5"/>
      <c r="URK4" s="5"/>
      <c r="URL4" s="5"/>
      <c r="URM4" s="5"/>
      <c r="URN4" s="5"/>
      <c r="URO4" s="5"/>
      <c r="URP4" s="5"/>
      <c r="URQ4" s="5"/>
      <c r="URR4" s="5"/>
      <c r="URS4" s="5"/>
      <c r="URT4" s="5"/>
      <c r="URU4" s="5"/>
      <c r="URV4" s="5"/>
      <c r="URW4" s="5"/>
      <c r="URX4" s="5"/>
      <c r="URY4" s="5"/>
      <c r="URZ4" s="5"/>
      <c r="USA4" s="5"/>
      <c r="USB4" s="5"/>
      <c r="USC4" s="5"/>
      <c r="USD4" s="5"/>
      <c r="USE4" s="5"/>
      <c r="USF4" s="5"/>
      <c r="USG4" s="5"/>
      <c r="USH4" s="5"/>
      <c r="USI4" s="5"/>
      <c r="USJ4" s="5"/>
      <c r="USK4" s="5"/>
      <c r="USL4" s="5"/>
      <c r="USM4" s="5"/>
      <c r="USN4" s="5"/>
      <c r="USO4" s="5"/>
      <c r="USP4" s="5"/>
      <c r="USQ4" s="5"/>
      <c r="USR4" s="5"/>
      <c r="USS4" s="5"/>
      <c r="UST4" s="5"/>
      <c r="USU4" s="5"/>
      <c r="USV4" s="5"/>
      <c r="USW4" s="5"/>
      <c r="USX4" s="5"/>
      <c r="USY4" s="5"/>
      <c r="USZ4" s="5"/>
      <c r="UTA4" s="5"/>
      <c r="UTB4" s="5"/>
      <c r="UTC4" s="5"/>
      <c r="UTD4" s="5"/>
      <c r="UTE4" s="5"/>
      <c r="UTF4" s="5"/>
      <c r="UTG4" s="5"/>
      <c r="UTH4" s="5"/>
      <c r="UTI4" s="5"/>
      <c r="UTJ4" s="5"/>
      <c r="UTK4" s="5"/>
      <c r="UTL4" s="5"/>
      <c r="UTM4" s="5"/>
      <c r="UTN4" s="5"/>
      <c r="UTO4" s="5"/>
      <c r="UTP4" s="5"/>
      <c r="UTQ4" s="5"/>
      <c r="UTR4" s="5"/>
      <c r="UTS4" s="5"/>
      <c r="UTT4" s="5"/>
      <c r="UTU4" s="5"/>
      <c r="UTV4" s="5"/>
      <c r="UTW4" s="5"/>
      <c r="UTX4" s="5"/>
      <c r="UTY4" s="5"/>
      <c r="UTZ4" s="5"/>
      <c r="UUA4" s="5"/>
      <c r="UUB4" s="5"/>
      <c r="UUC4" s="5"/>
      <c r="UUD4" s="5"/>
      <c r="UUE4" s="5"/>
      <c r="UUF4" s="5"/>
      <c r="UUG4" s="5"/>
      <c r="UUH4" s="5"/>
      <c r="UUI4" s="5"/>
      <c r="UUJ4" s="5"/>
      <c r="UUK4" s="5"/>
      <c r="UUL4" s="5"/>
      <c r="UUM4" s="5"/>
      <c r="UUN4" s="5"/>
      <c r="UUO4" s="5"/>
      <c r="UUP4" s="5"/>
      <c r="UUQ4" s="5"/>
      <c r="UUR4" s="5"/>
      <c r="UUS4" s="5"/>
      <c r="UUT4" s="5"/>
      <c r="UUU4" s="5"/>
      <c r="UUV4" s="5"/>
      <c r="UUW4" s="5"/>
      <c r="UUX4" s="5"/>
      <c r="UUY4" s="5"/>
      <c r="UUZ4" s="5"/>
      <c r="UVA4" s="5"/>
      <c r="UVB4" s="5"/>
      <c r="UVC4" s="5"/>
      <c r="UVD4" s="5"/>
      <c r="UVE4" s="5"/>
      <c r="UVF4" s="5"/>
      <c r="UVG4" s="5"/>
      <c r="UVH4" s="5"/>
      <c r="UVI4" s="5"/>
      <c r="UVJ4" s="5"/>
      <c r="UVK4" s="5"/>
      <c r="UVL4" s="5"/>
      <c r="UVM4" s="5"/>
      <c r="UVN4" s="5"/>
      <c r="UVO4" s="5"/>
      <c r="UVP4" s="5"/>
      <c r="UVQ4" s="5"/>
      <c r="UVR4" s="5"/>
      <c r="UVS4" s="5"/>
      <c r="UVT4" s="5"/>
      <c r="UVU4" s="5"/>
      <c r="UVV4" s="5"/>
      <c r="UVW4" s="5"/>
      <c r="UVX4" s="5"/>
      <c r="UVY4" s="5"/>
      <c r="UVZ4" s="5"/>
      <c r="UWA4" s="5"/>
      <c r="UWB4" s="5"/>
      <c r="UWC4" s="5"/>
      <c r="UWD4" s="5"/>
      <c r="UWE4" s="5"/>
      <c r="UWF4" s="5"/>
      <c r="UWG4" s="5"/>
      <c r="UWH4" s="5"/>
      <c r="UWI4" s="5"/>
      <c r="UWJ4" s="5"/>
      <c r="UWK4" s="5"/>
      <c r="UWL4" s="5"/>
      <c r="UWM4" s="5"/>
      <c r="UWN4" s="5"/>
      <c r="UWO4" s="5"/>
      <c r="UWP4" s="5"/>
      <c r="UWQ4" s="5"/>
      <c r="UWR4" s="5"/>
      <c r="UWS4" s="5"/>
      <c r="UWT4" s="5"/>
      <c r="UWU4" s="5"/>
      <c r="UWV4" s="5"/>
      <c r="UWW4" s="5"/>
      <c r="UWX4" s="5"/>
      <c r="UWY4" s="5"/>
      <c r="UWZ4" s="5"/>
      <c r="UXA4" s="5"/>
      <c r="UXB4" s="5"/>
      <c r="UXC4" s="5"/>
      <c r="UXD4" s="5"/>
      <c r="UXE4" s="5"/>
      <c r="UXF4" s="5"/>
      <c r="UXG4" s="5"/>
      <c r="UXH4" s="5"/>
      <c r="UXI4" s="5"/>
      <c r="UXJ4" s="5"/>
      <c r="UXK4" s="5"/>
      <c r="UXL4" s="5"/>
      <c r="UXM4" s="5"/>
      <c r="UXN4" s="5"/>
      <c r="UXO4" s="5"/>
      <c r="UXP4" s="5"/>
      <c r="UXQ4" s="5"/>
      <c r="UXR4" s="5"/>
      <c r="UXS4" s="5"/>
      <c r="UXT4" s="5"/>
      <c r="UXU4" s="5"/>
      <c r="UXV4" s="5"/>
      <c r="UXW4" s="5"/>
      <c r="UXX4" s="5"/>
      <c r="UXY4" s="5"/>
      <c r="UXZ4" s="5"/>
      <c r="UYA4" s="5"/>
      <c r="UYB4" s="5"/>
      <c r="UYC4" s="5"/>
      <c r="UYD4" s="5"/>
      <c r="UYE4" s="5"/>
      <c r="UYF4" s="5"/>
      <c r="UYG4" s="5"/>
      <c r="UYH4" s="5"/>
      <c r="UYI4" s="5"/>
      <c r="UYJ4" s="5"/>
      <c r="UYK4" s="5"/>
      <c r="UYL4" s="5"/>
      <c r="UYM4" s="5"/>
      <c r="UYN4" s="5"/>
      <c r="UYO4" s="5"/>
      <c r="UYP4" s="5"/>
      <c r="UYQ4" s="5"/>
      <c r="UYR4" s="5"/>
      <c r="UYS4" s="5"/>
      <c r="UYT4" s="5"/>
      <c r="UYU4" s="5"/>
      <c r="UYV4" s="5"/>
      <c r="UYW4" s="5"/>
      <c r="UYX4" s="5"/>
      <c r="UYY4" s="5"/>
      <c r="UYZ4" s="5"/>
      <c r="UZA4" s="5"/>
      <c r="UZB4" s="5"/>
      <c r="UZC4" s="5"/>
      <c r="UZD4" s="5"/>
      <c r="UZE4" s="5"/>
      <c r="UZF4" s="5"/>
      <c r="UZG4" s="5"/>
      <c r="UZH4" s="5"/>
      <c r="UZI4" s="5"/>
      <c r="UZJ4" s="5"/>
      <c r="UZK4" s="5"/>
      <c r="UZL4" s="5"/>
      <c r="UZM4" s="5"/>
      <c r="UZN4" s="5"/>
      <c r="UZO4" s="5"/>
      <c r="UZP4" s="5"/>
      <c r="UZQ4" s="5"/>
      <c r="UZR4" s="5"/>
      <c r="UZS4" s="5"/>
      <c r="UZT4" s="5"/>
      <c r="UZU4" s="5"/>
      <c r="UZV4" s="5"/>
      <c r="UZW4" s="5"/>
      <c r="UZX4" s="5"/>
      <c r="UZY4" s="5"/>
      <c r="UZZ4" s="5"/>
      <c r="VAA4" s="5"/>
      <c r="VAB4" s="5"/>
      <c r="VAC4" s="5"/>
      <c r="VAD4" s="5"/>
      <c r="VAE4" s="5"/>
      <c r="VAF4" s="5"/>
      <c r="VAG4" s="5"/>
      <c r="VAH4" s="5"/>
      <c r="VAI4" s="5"/>
      <c r="VAJ4" s="5"/>
      <c r="VAK4" s="5"/>
      <c r="VAL4" s="5"/>
      <c r="VAM4" s="5"/>
      <c r="VAN4" s="5"/>
      <c r="VAO4" s="5"/>
      <c r="VAP4" s="5"/>
      <c r="VAQ4" s="5"/>
      <c r="VAR4" s="5"/>
      <c r="VAS4" s="5"/>
      <c r="VAT4" s="5"/>
      <c r="VAU4" s="5"/>
      <c r="VAV4" s="5"/>
      <c r="VAW4" s="5"/>
      <c r="VAX4" s="5"/>
      <c r="VAY4" s="5"/>
      <c r="VAZ4" s="5"/>
      <c r="VBA4" s="5"/>
      <c r="VBB4" s="5"/>
      <c r="VBC4" s="5"/>
      <c r="VBD4" s="5"/>
      <c r="VBE4" s="5"/>
      <c r="VBF4" s="5"/>
      <c r="VBG4" s="5"/>
      <c r="VBH4" s="5"/>
      <c r="VBI4" s="5"/>
      <c r="VBJ4" s="5"/>
      <c r="VBK4" s="5"/>
      <c r="VBL4" s="5"/>
      <c r="VBM4" s="5"/>
      <c r="VBN4" s="5"/>
      <c r="VBO4" s="5"/>
      <c r="VBP4" s="5"/>
      <c r="VBQ4" s="5"/>
      <c r="VBR4" s="5"/>
      <c r="VBS4" s="5"/>
      <c r="VBT4" s="5"/>
      <c r="VBU4" s="5"/>
      <c r="VBV4" s="5"/>
      <c r="VBW4" s="5"/>
      <c r="VBX4" s="5"/>
      <c r="VBY4" s="5"/>
      <c r="VBZ4" s="5"/>
      <c r="VCA4" s="5"/>
      <c r="VCB4" s="5"/>
      <c r="VCC4" s="5"/>
      <c r="VCD4" s="5"/>
      <c r="VCE4" s="5"/>
      <c r="VCF4" s="5"/>
      <c r="VCG4" s="5"/>
      <c r="VCH4" s="5"/>
      <c r="VCI4" s="5"/>
      <c r="VCJ4" s="5"/>
      <c r="VCK4" s="5"/>
      <c r="VCL4" s="5"/>
      <c r="VCM4" s="5"/>
      <c r="VCN4" s="5"/>
      <c r="VCO4" s="5"/>
      <c r="VCP4" s="5"/>
      <c r="VCQ4" s="5"/>
      <c r="VCR4" s="5"/>
      <c r="VCS4" s="5"/>
      <c r="VCT4" s="5"/>
      <c r="VCU4" s="5"/>
      <c r="VCV4" s="5"/>
      <c r="VCW4" s="5"/>
      <c r="VCX4" s="5"/>
      <c r="VCY4" s="5"/>
      <c r="VCZ4" s="5"/>
      <c r="VDA4" s="5"/>
      <c r="VDB4" s="5"/>
      <c r="VDC4" s="5"/>
      <c r="VDD4" s="5"/>
      <c r="VDE4" s="5"/>
      <c r="VDF4" s="5"/>
      <c r="VDG4" s="5"/>
      <c r="VDH4" s="5"/>
      <c r="VDI4" s="5"/>
      <c r="VDJ4" s="5"/>
      <c r="VDK4" s="5"/>
      <c r="VDL4" s="5"/>
      <c r="VDM4" s="5"/>
      <c r="VDN4" s="5"/>
      <c r="VDO4" s="5"/>
      <c r="VDP4" s="5"/>
      <c r="VDQ4" s="5"/>
      <c r="VDR4" s="5"/>
      <c r="VDS4" s="5"/>
      <c r="VDT4" s="5"/>
      <c r="VDU4" s="5"/>
      <c r="VDV4" s="5"/>
      <c r="VDW4" s="5"/>
      <c r="VDX4" s="5"/>
      <c r="VDY4" s="5"/>
      <c r="VDZ4" s="5"/>
      <c r="VEA4" s="5"/>
      <c r="VEB4" s="5"/>
      <c r="VEC4" s="5"/>
      <c r="VED4" s="5"/>
      <c r="VEE4" s="5"/>
      <c r="VEF4" s="5"/>
      <c r="VEG4" s="5"/>
      <c r="VEH4" s="5"/>
      <c r="VEI4" s="5"/>
      <c r="VEJ4" s="5"/>
      <c r="VEK4" s="5"/>
      <c r="VEL4" s="5"/>
      <c r="VEM4" s="5"/>
      <c r="VEN4" s="5"/>
      <c r="VEO4" s="5"/>
      <c r="VEP4" s="5"/>
      <c r="VEQ4" s="5"/>
      <c r="VER4" s="5"/>
      <c r="VES4" s="5"/>
      <c r="VET4" s="5"/>
      <c r="VEU4" s="5"/>
      <c r="VEV4" s="5"/>
      <c r="VEW4" s="5"/>
      <c r="VEX4" s="5"/>
      <c r="VEY4" s="5"/>
      <c r="VEZ4" s="5"/>
      <c r="VFA4" s="5"/>
      <c r="VFB4" s="5"/>
      <c r="VFC4" s="5"/>
      <c r="VFD4" s="5"/>
      <c r="VFE4" s="5"/>
      <c r="VFF4" s="5"/>
      <c r="VFG4" s="5"/>
      <c r="VFH4" s="5"/>
      <c r="VFI4" s="5"/>
      <c r="VFJ4" s="5"/>
      <c r="VFK4" s="5"/>
      <c r="VFL4" s="5"/>
      <c r="VFM4" s="5"/>
      <c r="VFN4" s="5"/>
      <c r="VFO4" s="5"/>
      <c r="VFP4" s="5"/>
      <c r="VFQ4" s="5"/>
      <c r="VFR4" s="5"/>
      <c r="VFS4" s="5"/>
      <c r="VFT4" s="5"/>
      <c r="VFU4" s="5"/>
      <c r="VFV4" s="5"/>
      <c r="VFW4" s="5"/>
      <c r="VFX4" s="5"/>
      <c r="VFY4" s="5"/>
      <c r="VFZ4" s="5"/>
      <c r="VGA4" s="5"/>
      <c r="VGB4" s="5"/>
      <c r="VGC4" s="5"/>
      <c r="VGD4" s="5"/>
      <c r="VGE4" s="5"/>
      <c r="VGF4" s="5"/>
      <c r="VGG4" s="5"/>
      <c r="VGH4" s="5"/>
      <c r="VGI4" s="5"/>
      <c r="VGJ4" s="5"/>
      <c r="VGK4" s="5"/>
      <c r="VGL4" s="5"/>
      <c r="VGM4" s="5"/>
      <c r="VGN4" s="5"/>
      <c r="VGO4" s="5"/>
      <c r="VGP4" s="5"/>
      <c r="VGQ4" s="5"/>
      <c r="VGR4" s="5"/>
      <c r="VGS4" s="5"/>
      <c r="VGT4" s="5"/>
      <c r="VGU4" s="5"/>
      <c r="VGV4" s="5"/>
      <c r="VGW4" s="5"/>
      <c r="VGX4" s="5"/>
      <c r="VGY4" s="5"/>
      <c r="VGZ4" s="5"/>
      <c r="VHA4" s="5"/>
      <c r="VHB4" s="5"/>
      <c r="VHC4" s="5"/>
      <c r="VHD4" s="5"/>
      <c r="VHE4" s="5"/>
      <c r="VHF4" s="5"/>
      <c r="VHG4" s="5"/>
      <c r="VHH4" s="5"/>
      <c r="VHI4" s="5"/>
      <c r="VHJ4" s="5"/>
      <c r="VHK4" s="5"/>
      <c r="VHL4" s="5"/>
      <c r="VHM4" s="5"/>
      <c r="VHN4" s="5"/>
      <c r="VHO4" s="5"/>
      <c r="VHP4" s="5"/>
      <c r="VHQ4" s="5"/>
      <c r="VHR4" s="5"/>
      <c r="VHS4" s="5"/>
      <c r="VHT4" s="5"/>
      <c r="VHU4" s="5"/>
      <c r="VHV4" s="5"/>
      <c r="VHW4" s="5"/>
      <c r="VHX4" s="5"/>
      <c r="VHY4" s="5"/>
      <c r="VHZ4" s="5"/>
      <c r="VIA4" s="5"/>
      <c r="VIB4" s="5"/>
      <c r="VIC4" s="5"/>
      <c r="VID4" s="5"/>
      <c r="VIE4" s="5"/>
      <c r="VIF4" s="5"/>
      <c r="VIG4" s="5"/>
      <c r="VIH4" s="5"/>
      <c r="VII4" s="5"/>
      <c r="VIJ4" s="5"/>
      <c r="VIK4" s="5"/>
      <c r="VIL4" s="5"/>
      <c r="VIM4" s="5"/>
      <c r="VIN4" s="5"/>
      <c r="VIO4" s="5"/>
      <c r="VIP4" s="5"/>
      <c r="VIQ4" s="5"/>
      <c r="VIR4" s="5"/>
      <c r="VIS4" s="5"/>
      <c r="VIT4" s="5"/>
      <c r="VIU4" s="5"/>
      <c r="VIV4" s="5"/>
      <c r="VIW4" s="5"/>
      <c r="VIX4" s="5"/>
      <c r="VIY4" s="5"/>
      <c r="VIZ4" s="5"/>
      <c r="VJA4" s="5"/>
      <c r="VJB4" s="5"/>
      <c r="VJC4" s="5"/>
      <c r="VJD4" s="5"/>
      <c r="VJE4" s="5"/>
      <c r="VJF4" s="5"/>
      <c r="VJG4" s="5"/>
      <c r="VJH4" s="5"/>
      <c r="VJI4" s="5"/>
      <c r="VJJ4" s="5"/>
      <c r="VJK4" s="5"/>
      <c r="VJL4" s="5"/>
      <c r="VJM4" s="5"/>
      <c r="VJN4" s="5"/>
      <c r="VJO4" s="5"/>
      <c r="VJP4" s="5"/>
      <c r="VJQ4" s="5"/>
      <c r="VJR4" s="5"/>
      <c r="VJS4" s="5"/>
      <c r="VJT4" s="5"/>
      <c r="VJU4" s="5"/>
      <c r="VJV4" s="5"/>
      <c r="VJW4" s="5"/>
      <c r="VJX4" s="5"/>
      <c r="VJY4" s="5"/>
      <c r="VJZ4" s="5"/>
      <c r="VKA4" s="5"/>
      <c r="VKB4" s="5"/>
      <c r="VKC4" s="5"/>
      <c r="VKD4" s="5"/>
      <c r="VKE4" s="5"/>
      <c r="VKF4" s="5"/>
      <c r="VKG4" s="5"/>
      <c r="VKH4" s="5"/>
      <c r="VKI4" s="5"/>
      <c r="VKJ4" s="5"/>
      <c r="VKK4" s="5"/>
      <c r="VKL4" s="5"/>
      <c r="VKM4" s="5"/>
      <c r="VKN4" s="5"/>
      <c r="VKO4" s="5"/>
      <c r="VKP4" s="5"/>
      <c r="VKQ4" s="5"/>
      <c r="VKR4" s="5"/>
      <c r="VKS4" s="5"/>
      <c r="VKT4" s="5"/>
      <c r="VKU4" s="5"/>
      <c r="VKV4" s="5"/>
      <c r="VKW4" s="5"/>
      <c r="VKX4" s="5"/>
      <c r="VKY4" s="5"/>
      <c r="VKZ4" s="5"/>
      <c r="VLA4" s="5"/>
      <c r="VLB4" s="5"/>
      <c r="VLC4" s="5"/>
      <c r="VLD4" s="5"/>
      <c r="VLE4" s="5"/>
      <c r="VLF4" s="5"/>
      <c r="VLG4" s="5"/>
      <c r="VLH4" s="5"/>
      <c r="VLI4" s="5"/>
      <c r="VLJ4" s="5"/>
      <c r="VLK4" s="5"/>
      <c r="VLL4" s="5"/>
      <c r="VLM4" s="5"/>
      <c r="VLN4" s="5"/>
      <c r="VLO4" s="5"/>
      <c r="VLP4" s="5"/>
      <c r="VLQ4" s="5"/>
      <c r="VLR4" s="5"/>
      <c r="VLS4" s="5"/>
      <c r="VLT4" s="5"/>
      <c r="VLU4" s="5"/>
      <c r="VLV4" s="5"/>
      <c r="VLW4" s="5"/>
      <c r="VLX4" s="5"/>
      <c r="VLY4" s="5"/>
      <c r="VLZ4" s="5"/>
      <c r="VMA4" s="5"/>
      <c r="VMB4" s="5"/>
      <c r="VMC4" s="5"/>
      <c r="VMD4" s="5"/>
      <c r="VME4" s="5"/>
      <c r="VMF4" s="5"/>
      <c r="VMG4" s="5"/>
      <c r="VMH4" s="5"/>
      <c r="VMI4" s="5"/>
      <c r="VMJ4" s="5"/>
      <c r="VMK4" s="5"/>
      <c r="VML4" s="5"/>
      <c r="VMM4" s="5"/>
      <c r="VMN4" s="5"/>
      <c r="VMO4" s="5"/>
      <c r="VMP4" s="5"/>
      <c r="VMQ4" s="5"/>
      <c r="VMR4" s="5"/>
      <c r="VMS4" s="5"/>
      <c r="VMT4" s="5"/>
      <c r="VMU4" s="5"/>
      <c r="VMV4" s="5"/>
      <c r="VMW4" s="5"/>
      <c r="VMX4" s="5"/>
      <c r="VMY4" s="5"/>
      <c r="VMZ4" s="5"/>
      <c r="VNA4" s="5"/>
      <c r="VNB4" s="5"/>
      <c r="VNC4" s="5"/>
      <c r="VND4" s="5"/>
      <c r="VNE4" s="5"/>
      <c r="VNF4" s="5"/>
      <c r="VNG4" s="5"/>
      <c r="VNH4" s="5"/>
      <c r="VNI4" s="5"/>
      <c r="VNJ4" s="5"/>
      <c r="VNK4" s="5"/>
      <c r="VNL4" s="5"/>
      <c r="VNM4" s="5"/>
      <c r="VNN4" s="5"/>
      <c r="VNO4" s="5"/>
      <c r="VNP4" s="5"/>
      <c r="VNQ4" s="5"/>
      <c r="VNR4" s="5"/>
      <c r="VNS4" s="5"/>
      <c r="VNT4" s="5"/>
      <c r="VNU4" s="5"/>
      <c r="VNV4" s="5"/>
      <c r="VNW4" s="5"/>
      <c r="VNX4" s="5"/>
      <c r="VNY4" s="5"/>
      <c r="VNZ4" s="5"/>
      <c r="VOA4" s="5"/>
      <c r="VOB4" s="5"/>
      <c r="VOC4" s="5"/>
      <c r="VOD4" s="5"/>
      <c r="VOE4" s="5"/>
      <c r="VOF4" s="5"/>
      <c r="VOG4" s="5"/>
      <c r="VOH4" s="5"/>
      <c r="VOI4" s="5"/>
      <c r="VOJ4" s="5"/>
      <c r="VOK4" s="5"/>
      <c r="VOL4" s="5"/>
      <c r="VOM4" s="5"/>
      <c r="VON4" s="5"/>
      <c r="VOO4" s="5"/>
      <c r="VOP4" s="5"/>
      <c r="VOQ4" s="5"/>
      <c r="VOR4" s="5"/>
      <c r="VOS4" s="5"/>
      <c r="VOT4" s="5"/>
      <c r="VOU4" s="5"/>
      <c r="VOV4" s="5"/>
      <c r="VOW4" s="5"/>
      <c r="VOX4" s="5"/>
      <c r="VOY4" s="5"/>
      <c r="VOZ4" s="5"/>
      <c r="VPA4" s="5"/>
      <c r="VPB4" s="5"/>
      <c r="VPC4" s="5"/>
      <c r="VPD4" s="5"/>
      <c r="VPE4" s="5"/>
      <c r="VPF4" s="5"/>
      <c r="VPG4" s="5"/>
      <c r="VPH4" s="5"/>
      <c r="VPI4" s="5"/>
      <c r="VPJ4" s="5"/>
      <c r="VPK4" s="5"/>
      <c r="VPL4" s="5"/>
      <c r="VPM4" s="5"/>
      <c r="VPN4" s="5"/>
      <c r="VPO4" s="5"/>
      <c r="VPP4" s="5"/>
      <c r="VPQ4" s="5"/>
      <c r="VPR4" s="5"/>
      <c r="VPS4" s="5"/>
      <c r="VPT4" s="5"/>
      <c r="VPU4" s="5"/>
      <c r="VPV4" s="5"/>
      <c r="VPW4" s="5"/>
      <c r="VPX4" s="5"/>
      <c r="VPY4" s="5"/>
      <c r="VPZ4" s="5"/>
      <c r="VQA4" s="5"/>
      <c r="VQB4" s="5"/>
      <c r="VQC4" s="5"/>
      <c r="VQD4" s="5"/>
      <c r="VQE4" s="5"/>
      <c r="VQF4" s="5"/>
      <c r="VQG4" s="5"/>
      <c r="VQH4" s="5"/>
      <c r="VQI4" s="5"/>
      <c r="VQJ4" s="5"/>
      <c r="VQK4" s="5"/>
      <c r="VQL4" s="5"/>
      <c r="VQM4" s="5"/>
      <c r="VQN4" s="5"/>
      <c r="VQO4" s="5"/>
      <c r="VQP4" s="5"/>
      <c r="VQQ4" s="5"/>
      <c r="VQR4" s="5"/>
      <c r="VQS4" s="5"/>
      <c r="VQT4" s="5"/>
      <c r="VQU4" s="5"/>
      <c r="VQV4" s="5"/>
      <c r="VQW4" s="5"/>
      <c r="VQX4" s="5"/>
      <c r="VQY4" s="5"/>
      <c r="VQZ4" s="5"/>
      <c r="VRA4" s="5"/>
      <c r="VRB4" s="5"/>
      <c r="VRC4" s="5"/>
      <c r="VRD4" s="5"/>
      <c r="VRE4" s="5"/>
      <c r="VRF4" s="5"/>
      <c r="VRG4" s="5"/>
      <c r="VRH4" s="5"/>
      <c r="VRI4" s="5"/>
      <c r="VRJ4" s="5"/>
      <c r="VRK4" s="5"/>
      <c r="VRL4" s="5"/>
      <c r="VRM4" s="5"/>
      <c r="VRN4" s="5"/>
      <c r="VRO4" s="5"/>
      <c r="VRP4" s="5"/>
      <c r="VRQ4" s="5"/>
      <c r="VRR4" s="5"/>
      <c r="VRS4" s="5"/>
      <c r="VRT4" s="5"/>
      <c r="VRU4" s="5"/>
      <c r="VRV4" s="5"/>
      <c r="VRW4" s="5"/>
      <c r="VRX4" s="5"/>
      <c r="VRY4" s="5"/>
      <c r="VRZ4" s="5"/>
      <c r="VSA4" s="5"/>
      <c r="VSB4" s="5"/>
      <c r="VSC4" s="5"/>
      <c r="VSD4" s="5"/>
      <c r="VSE4" s="5"/>
      <c r="VSF4" s="5"/>
      <c r="VSG4" s="5"/>
      <c r="VSH4" s="5"/>
      <c r="VSI4" s="5"/>
      <c r="VSJ4" s="5"/>
      <c r="VSK4" s="5"/>
      <c r="VSL4" s="5"/>
      <c r="VSM4" s="5"/>
      <c r="VSN4" s="5"/>
      <c r="VSO4" s="5"/>
      <c r="VSP4" s="5"/>
      <c r="VSQ4" s="5"/>
      <c r="VSR4" s="5"/>
      <c r="VSS4" s="5"/>
      <c r="VST4" s="5"/>
      <c r="VSU4" s="5"/>
      <c r="VSV4" s="5"/>
      <c r="VSW4" s="5"/>
      <c r="VSX4" s="5"/>
      <c r="VSY4" s="5"/>
      <c r="VSZ4" s="5"/>
      <c r="VTA4" s="5"/>
      <c r="VTB4" s="5"/>
      <c r="VTC4" s="5"/>
      <c r="VTD4" s="5"/>
      <c r="VTE4" s="5"/>
      <c r="VTF4" s="5"/>
      <c r="VTG4" s="5"/>
      <c r="VTH4" s="5"/>
      <c r="VTI4" s="5"/>
      <c r="VTJ4" s="5"/>
      <c r="VTK4" s="5"/>
      <c r="VTL4" s="5"/>
      <c r="VTM4" s="5"/>
      <c r="VTN4" s="5"/>
      <c r="VTO4" s="5"/>
      <c r="VTP4" s="5"/>
      <c r="VTQ4" s="5"/>
      <c r="VTR4" s="5"/>
      <c r="VTS4" s="5"/>
      <c r="VTT4" s="5"/>
      <c r="VTU4" s="5"/>
      <c r="VTV4" s="5"/>
      <c r="VTW4" s="5"/>
      <c r="VTX4" s="5"/>
      <c r="VTY4" s="5"/>
      <c r="VTZ4" s="5"/>
      <c r="VUA4" s="5"/>
      <c r="VUB4" s="5"/>
      <c r="VUC4" s="5"/>
      <c r="VUD4" s="5"/>
      <c r="VUE4" s="5"/>
      <c r="VUF4" s="5"/>
      <c r="VUG4" s="5"/>
      <c r="VUH4" s="5"/>
      <c r="VUI4" s="5"/>
      <c r="VUJ4" s="5"/>
      <c r="VUK4" s="5"/>
      <c r="VUL4" s="5"/>
      <c r="VUM4" s="5"/>
      <c r="VUN4" s="5"/>
      <c r="VUO4" s="5"/>
      <c r="VUP4" s="5"/>
      <c r="VUQ4" s="5"/>
      <c r="VUR4" s="5"/>
      <c r="VUS4" s="5"/>
      <c r="VUT4" s="5"/>
      <c r="VUU4" s="5"/>
      <c r="VUV4" s="5"/>
      <c r="VUW4" s="5"/>
      <c r="VUX4" s="5"/>
      <c r="VUY4" s="5"/>
      <c r="VUZ4" s="5"/>
      <c r="VVA4" s="5"/>
      <c r="VVB4" s="5"/>
      <c r="VVC4" s="5"/>
      <c r="VVD4" s="5"/>
      <c r="VVE4" s="5"/>
      <c r="VVF4" s="5"/>
      <c r="VVG4" s="5"/>
      <c r="VVH4" s="5"/>
      <c r="VVI4" s="5"/>
      <c r="VVJ4" s="5"/>
      <c r="VVK4" s="5"/>
      <c r="VVL4" s="5"/>
      <c r="VVM4" s="5"/>
      <c r="VVN4" s="5"/>
      <c r="VVO4" s="5"/>
      <c r="VVP4" s="5"/>
      <c r="VVQ4" s="5"/>
      <c r="VVR4" s="5"/>
      <c r="VVS4" s="5"/>
      <c r="VVT4" s="5"/>
      <c r="VVU4" s="5"/>
      <c r="VVV4" s="5"/>
      <c r="VVW4" s="5"/>
      <c r="VVX4" s="5"/>
      <c r="VVY4" s="5"/>
      <c r="VVZ4" s="5"/>
      <c r="VWA4" s="5"/>
      <c r="VWB4" s="5"/>
      <c r="VWC4" s="5"/>
      <c r="VWD4" s="5"/>
      <c r="VWE4" s="5"/>
      <c r="VWF4" s="5"/>
      <c r="VWG4" s="5"/>
      <c r="VWH4" s="5"/>
      <c r="VWI4" s="5"/>
      <c r="VWJ4" s="5"/>
      <c r="VWK4" s="5"/>
      <c r="VWL4" s="5"/>
      <c r="VWM4" s="5"/>
      <c r="VWN4" s="5"/>
      <c r="VWO4" s="5"/>
      <c r="VWP4" s="5"/>
      <c r="VWQ4" s="5"/>
      <c r="VWR4" s="5"/>
      <c r="VWS4" s="5"/>
      <c r="VWT4" s="5"/>
      <c r="VWU4" s="5"/>
      <c r="VWV4" s="5"/>
      <c r="VWW4" s="5"/>
      <c r="VWX4" s="5"/>
      <c r="VWY4" s="5"/>
      <c r="VWZ4" s="5"/>
      <c r="VXA4" s="5"/>
      <c r="VXB4" s="5"/>
      <c r="VXC4" s="5"/>
      <c r="VXD4" s="5"/>
      <c r="VXE4" s="5"/>
      <c r="VXF4" s="5"/>
      <c r="VXG4" s="5"/>
      <c r="VXH4" s="5"/>
      <c r="VXI4" s="5"/>
      <c r="VXJ4" s="5"/>
      <c r="VXK4" s="5"/>
      <c r="VXL4" s="5"/>
      <c r="VXM4" s="5"/>
      <c r="VXN4" s="5"/>
      <c r="VXO4" s="5"/>
      <c r="VXP4" s="5"/>
      <c r="VXQ4" s="5"/>
      <c r="VXR4" s="5"/>
      <c r="VXS4" s="5"/>
      <c r="VXT4" s="5"/>
      <c r="VXU4" s="5"/>
      <c r="VXV4" s="5"/>
      <c r="VXW4" s="5"/>
      <c r="VXX4" s="5"/>
      <c r="VXY4" s="5"/>
      <c r="VXZ4" s="5"/>
      <c r="VYA4" s="5"/>
      <c r="VYB4" s="5"/>
      <c r="VYC4" s="5"/>
      <c r="VYD4" s="5"/>
      <c r="VYE4" s="5"/>
      <c r="VYF4" s="5"/>
      <c r="VYG4" s="5"/>
      <c r="VYH4" s="5"/>
      <c r="VYI4" s="5"/>
      <c r="VYJ4" s="5"/>
      <c r="VYK4" s="5"/>
      <c r="VYL4" s="5"/>
      <c r="VYM4" s="5"/>
      <c r="VYN4" s="5"/>
      <c r="VYO4" s="5"/>
      <c r="VYP4" s="5"/>
      <c r="VYQ4" s="5"/>
      <c r="VYR4" s="5"/>
      <c r="VYS4" s="5"/>
      <c r="VYT4" s="5"/>
      <c r="VYU4" s="5"/>
      <c r="VYV4" s="5"/>
      <c r="VYW4" s="5"/>
      <c r="VYX4" s="5"/>
      <c r="VYY4" s="5"/>
      <c r="VYZ4" s="5"/>
      <c r="VZA4" s="5"/>
      <c r="VZB4" s="5"/>
      <c r="VZC4" s="5"/>
      <c r="VZD4" s="5"/>
      <c r="VZE4" s="5"/>
      <c r="VZF4" s="5"/>
      <c r="VZG4" s="5"/>
      <c r="VZH4" s="5"/>
      <c r="VZI4" s="5"/>
      <c r="VZJ4" s="5"/>
      <c r="VZK4" s="5"/>
      <c r="VZL4" s="5"/>
      <c r="VZM4" s="5"/>
      <c r="VZN4" s="5"/>
      <c r="VZO4" s="5"/>
      <c r="VZP4" s="5"/>
      <c r="VZQ4" s="5"/>
      <c r="VZR4" s="5"/>
      <c r="VZS4" s="5"/>
      <c r="VZT4" s="5"/>
      <c r="VZU4" s="5"/>
      <c r="VZV4" s="5"/>
      <c r="VZW4" s="5"/>
      <c r="VZX4" s="5"/>
      <c r="VZY4" s="5"/>
      <c r="VZZ4" s="5"/>
      <c r="WAA4" s="5"/>
      <c r="WAB4" s="5"/>
      <c r="WAC4" s="5"/>
      <c r="WAD4" s="5"/>
      <c r="WAE4" s="5"/>
      <c r="WAF4" s="5"/>
      <c r="WAG4" s="5"/>
      <c r="WAH4" s="5"/>
      <c r="WAI4" s="5"/>
      <c r="WAJ4" s="5"/>
      <c r="WAK4" s="5"/>
      <c r="WAL4" s="5"/>
      <c r="WAM4" s="5"/>
      <c r="WAN4" s="5"/>
      <c r="WAO4" s="5"/>
      <c r="WAP4" s="5"/>
      <c r="WAQ4" s="5"/>
      <c r="WAR4" s="5"/>
      <c r="WAS4" s="5"/>
      <c r="WAT4" s="5"/>
      <c r="WAU4" s="5"/>
      <c r="WAV4" s="5"/>
      <c r="WAW4" s="5"/>
      <c r="WAX4" s="5"/>
      <c r="WAY4" s="5"/>
      <c r="WAZ4" s="5"/>
      <c r="WBA4" s="5"/>
      <c r="WBB4" s="5"/>
      <c r="WBC4" s="5"/>
      <c r="WBD4" s="5"/>
      <c r="WBE4" s="5"/>
      <c r="WBF4" s="5"/>
      <c r="WBG4" s="5"/>
      <c r="WBH4" s="5"/>
      <c r="WBI4" s="5"/>
      <c r="WBJ4" s="5"/>
      <c r="WBK4" s="5"/>
      <c r="WBL4" s="5"/>
      <c r="WBM4" s="5"/>
      <c r="WBN4" s="5"/>
      <c r="WBO4" s="5"/>
      <c r="WBP4" s="5"/>
      <c r="WBQ4" s="5"/>
      <c r="WBR4" s="5"/>
      <c r="WBS4" s="5"/>
      <c r="WBT4" s="5"/>
      <c r="WBU4" s="5"/>
      <c r="WBV4" s="5"/>
      <c r="WBW4" s="5"/>
      <c r="WBX4" s="5"/>
      <c r="WBY4" s="5"/>
      <c r="WBZ4" s="5"/>
      <c r="WCA4" s="5"/>
      <c r="WCB4" s="5"/>
      <c r="WCC4" s="5"/>
      <c r="WCD4" s="5"/>
      <c r="WCE4" s="5"/>
      <c r="WCF4" s="5"/>
      <c r="WCG4" s="5"/>
      <c r="WCH4" s="5"/>
      <c r="WCI4" s="5"/>
      <c r="WCJ4" s="5"/>
      <c r="WCK4" s="5"/>
      <c r="WCL4" s="5"/>
      <c r="WCM4" s="5"/>
      <c r="WCN4" s="5"/>
      <c r="WCO4" s="5"/>
      <c r="WCP4" s="5"/>
      <c r="WCQ4" s="5"/>
      <c r="WCR4" s="5"/>
      <c r="WCS4" s="5"/>
      <c r="WCT4" s="5"/>
      <c r="WCU4" s="5"/>
      <c r="WCV4" s="5"/>
      <c r="WCW4" s="5"/>
      <c r="WCX4" s="5"/>
      <c r="WCY4" s="5"/>
      <c r="WCZ4" s="5"/>
      <c r="WDA4" s="5"/>
      <c r="WDB4" s="5"/>
      <c r="WDC4" s="5"/>
      <c r="WDD4" s="5"/>
      <c r="WDE4" s="5"/>
      <c r="WDF4" s="5"/>
      <c r="WDG4" s="5"/>
      <c r="WDH4" s="5"/>
      <c r="WDI4" s="5"/>
      <c r="WDJ4" s="5"/>
      <c r="WDK4" s="5"/>
      <c r="WDL4" s="5"/>
      <c r="WDM4" s="5"/>
      <c r="WDN4" s="5"/>
      <c r="WDO4" s="5"/>
      <c r="WDP4" s="5"/>
      <c r="WDQ4" s="5"/>
      <c r="WDR4" s="5"/>
      <c r="WDS4" s="5"/>
      <c r="WDT4" s="5"/>
      <c r="WDU4" s="5"/>
      <c r="WDV4" s="5"/>
      <c r="WDW4" s="5"/>
      <c r="WDX4" s="5"/>
      <c r="WDY4" s="5"/>
      <c r="WDZ4" s="5"/>
      <c r="WEA4" s="5"/>
      <c r="WEB4" s="5"/>
      <c r="WEC4" s="5"/>
      <c r="WED4" s="5"/>
      <c r="WEE4" s="5"/>
      <c r="WEF4" s="5"/>
      <c r="WEG4" s="5"/>
      <c r="WEH4" s="5"/>
      <c r="WEI4" s="5"/>
      <c r="WEJ4" s="5"/>
      <c r="WEK4" s="5"/>
      <c r="WEL4" s="5"/>
      <c r="WEM4" s="5"/>
      <c r="WEN4" s="5"/>
      <c r="WEO4" s="5"/>
      <c r="WEP4" s="5"/>
      <c r="WEQ4" s="5"/>
      <c r="WER4" s="5"/>
      <c r="WES4" s="5"/>
      <c r="WET4" s="5"/>
      <c r="WEU4" s="5"/>
      <c r="WEV4" s="5"/>
      <c r="WEW4" s="5"/>
      <c r="WEX4" s="5"/>
      <c r="WEY4" s="5"/>
      <c r="WEZ4" s="5"/>
      <c r="WFA4" s="5"/>
      <c r="WFB4" s="5"/>
      <c r="WFC4" s="5"/>
      <c r="WFD4" s="5"/>
      <c r="WFE4" s="5"/>
      <c r="WFF4" s="5"/>
      <c r="WFG4" s="5"/>
      <c r="WFH4" s="5"/>
      <c r="WFI4" s="5"/>
      <c r="WFJ4" s="5"/>
      <c r="WFK4" s="5"/>
      <c r="WFL4" s="5"/>
      <c r="WFM4" s="5"/>
      <c r="WFN4" s="5"/>
      <c r="WFO4" s="5"/>
      <c r="WFP4" s="5"/>
      <c r="WFQ4" s="5"/>
      <c r="WFR4" s="5"/>
      <c r="WFS4" s="5"/>
      <c r="WFT4" s="5"/>
      <c r="WFU4" s="5"/>
      <c r="WFV4" s="5"/>
      <c r="WFW4" s="5"/>
      <c r="WFX4" s="5"/>
      <c r="WFY4" s="5"/>
      <c r="WFZ4" s="5"/>
      <c r="WGA4" s="5"/>
      <c r="WGB4" s="5"/>
      <c r="WGC4" s="5"/>
      <c r="WGD4" s="5"/>
      <c r="WGE4" s="5"/>
      <c r="WGF4" s="5"/>
      <c r="WGG4" s="5"/>
      <c r="WGH4" s="5"/>
      <c r="WGI4" s="5"/>
      <c r="WGJ4" s="5"/>
      <c r="WGK4" s="5"/>
      <c r="WGL4" s="5"/>
      <c r="WGM4" s="5"/>
      <c r="WGN4" s="5"/>
      <c r="WGO4" s="5"/>
      <c r="WGP4" s="5"/>
      <c r="WGQ4" s="5"/>
      <c r="WGR4" s="5"/>
      <c r="WGS4" s="5"/>
      <c r="WGT4" s="5"/>
      <c r="WGU4" s="5"/>
      <c r="WGV4" s="5"/>
      <c r="WGW4" s="5"/>
      <c r="WGX4" s="5"/>
      <c r="WGY4" s="5"/>
      <c r="WGZ4" s="5"/>
      <c r="WHA4" s="5"/>
      <c r="WHB4" s="5"/>
      <c r="WHC4" s="5"/>
      <c r="WHD4" s="5"/>
      <c r="WHE4" s="5"/>
      <c r="WHF4" s="5"/>
      <c r="WHG4" s="5"/>
      <c r="WHH4" s="5"/>
      <c r="WHI4" s="5"/>
      <c r="WHJ4" s="5"/>
      <c r="WHK4" s="5"/>
      <c r="WHL4" s="5"/>
      <c r="WHM4" s="5"/>
      <c r="WHN4" s="5"/>
      <c r="WHO4" s="5"/>
      <c r="WHP4" s="5"/>
      <c r="WHQ4" s="5"/>
      <c r="WHR4" s="5"/>
      <c r="WHS4" s="5"/>
      <c r="WHT4" s="5"/>
      <c r="WHU4" s="5"/>
      <c r="WHV4" s="5"/>
      <c r="WHW4" s="5"/>
      <c r="WHX4" s="5"/>
      <c r="WHY4" s="5"/>
      <c r="WHZ4" s="5"/>
      <c r="WIA4" s="5"/>
      <c r="WIB4" s="5"/>
      <c r="WIC4" s="5"/>
      <c r="WID4" s="5"/>
      <c r="WIE4" s="5"/>
      <c r="WIF4" s="5"/>
      <c r="WIG4" s="5"/>
      <c r="WIH4" s="5"/>
      <c r="WII4" s="5"/>
      <c r="WIJ4" s="5"/>
      <c r="WIK4" s="5"/>
      <c r="WIL4" s="5"/>
      <c r="WIM4" s="5"/>
      <c r="WIN4" s="5"/>
      <c r="WIO4" s="5"/>
      <c r="WIP4" s="5"/>
      <c r="WIQ4" s="5"/>
      <c r="WIR4" s="5"/>
      <c r="WIS4" s="5"/>
      <c r="WIT4" s="5"/>
      <c r="WIU4" s="5"/>
      <c r="WIV4" s="5"/>
      <c r="WIW4" s="5"/>
      <c r="WIX4" s="5"/>
      <c r="WIY4" s="5"/>
      <c r="WIZ4" s="5"/>
      <c r="WJA4" s="5"/>
      <c r="WJB4" s="5"/>
      <c r="WJC4" s="5"/>
      <c r="WJD4" s="5"/>
      <c r="WJE4" s="5"/>
      <c r="WJF4" s="5"/>
      <c r="WJG4" s="5"/>
      <c r="WJH4" s="5"/>
      <c r="WJI4" s="5"/>
      <c r="WJJ4" s="5"/>
      <c r="WJK4" s="5"/>
      <c r="WJL4" s="5"/>
      <c r="WJM4" s="5"/>
      <c r="WJN4" s="5"/>
      <c r="WJO4" s="5"/>
      <c r="WJP4" s="5"/>
      <c r="WJQ4" s="5"/>
      <c r="WJR4" s="5"/>
      <c r="WJS4" s="5"/>
      <c r="WJT4" s="5"/>
      <c r="WJU4" s="5"/>
      <c r="WJV4" s="5"/>
      <c r="WJW4" s="5"/>
      <c r="WJX4" s="5"/>
      <c r="WJY4" s="5"/>
      <c r="WJZ4" s="5"/>
      <c r="WKA4" s="5"/>
      <c r="WKB4" s="5"/>
      <c r="WKC4" s="5"/>
      <c r="WKD4" s="5"/>
      <c r="WKE4" s="5"/>
      <c r="WKF4" s="5"/>
      <c r="WKG4" s="5"/>
      <c r="WKH4" s="5"/>
      <c r="WKI4" s="5"/>
      <c r="WKJ4" s="5"/>
      <c r="WKK4" s="5"/>
      <c r="WKL4" s="5"/>
      <c r="WKM4" s="5"/>
      <c r="WKN4" s="5"/>
      <c r="WKO4" s="5"/>
      <c r="WKP4" s="5"/>
      <c r="WKQ4" s="5"/>
      <c r="WKR4" s="5"/>
      <c r="WKS4" s="5"/>
      <c r="WKT4" s="5"/>
      <c r="WKU4" s="5"/>
      <c r="WKV4" s="5"/>
      <c r="WKW4" s="5"/>
      <c r="WKX4" s="5"/>
      <c r="WKY4" s="5"/>
      <c r="WKZ4" s="5"/>
      <c r="WLA4" s="5"/>
      <c r="WLB4" s="5"/>
      <c r="WLC4" s="5"/>
      <c r="WLD4" s="5"/>
      <c r="WLE4" s="5"/>
      <c r="WLF4" s="5"/>
      <c r="WLG4" s="5"/>
      <c r="WLH4" s="5"/>
      <c r="WLI4" s="5"/>
      <c r="WLJ4" s="5"/>
      <c r="WLK4" s="5"/>
      <c r="WLL4" s="5"/>
      <c r="WLM4" s="5"/>
      <c r="WLN4" s="5"/>
      <c r="WLO4" s="5"/>
      <c r="WLP4" s="5"/>
      <c r="WLQ4" s="5"/>
      <c r="WLR4" s="5"/>
      <c r="WLS4" s="5"/>
      <c r="WLT4" s="5"/>
      <c r="WLU4" s="5"/>
      <c r="WLV4" s="5"/>
      <c r="WLW4" s="5"/>
      <c r="WLX4" s="5"/>
      <c r="WLY4" s="5"/>
      <c r="WLZ4" s="5"/>
      <c r="WMA4" s="5"/>
      <c r="WMB4" s="5"/>
      <c r="WMC4" s="5"/>
      <c r="WMD4" s="5"/>
      <c r="WME4" s="5"/>
      <c r="WMF4" s="5"/>
      <c r="WMG4" s="5"/>
      <c r="WMH4" s="5"/>
      <c r="WMI4" s="5"/>
      <c r="WMJ4" s="5"/>
      <c r="WMK4" s="5"/>
      <c r="WML4" s="5"/>
      <c r="WMM4" s="5"/>
      <c r="WMN4" s="5"/>
      <c r="WMO4" s="5"/>
      <c r="WMP4" s="5"/>
      <c r="WMQ4" s="5"/>
      <c r="WMR4" s="5"/>
      <c r="WMS4" s="5"/>
      <c r="WMT4" s="5"/>
      <c r="WMU4" s="5"/>
      <c r="WMV4" s="5"/>
      <c r="WMW4" s="5"/>
      <c r="WMX4" s="5"/>
      <c r="WMY4" s="5"/>
      <c r="WMZ4" s="5"/>
      <c r="WNA4" s="5"/>
      <c r="WNB4" s="5"/>
      <c r="WNC4" s="5"/>
      <c r="WND4" s="5"/>
      <c r="WNE4" s="5"/>
      <c r="WNF4" s="5"/>
      <c r="WNG4" s="5"/>
      <c r="WNH4" s="5"/>
      <c r="WNI4" s="5"/>
      <c r="WNJ4" s="5"/>
      <c r="WNK4" s="5"/>
      <c r="WNL4" s="5"/>
      <c r="WNM4" s="5"/>
      <c r="WNN4" s="5"/>
      <c r="WNO4" s="5"/>
      <c r="WNP4" s="5"/>
      <c r="WNQ4" s="5"/>
      <c r="WNR4" s="5"/>
      <c r="WNS4" s="5"/>
      <c r="WNT4" s="5"/>
      <c r="WNU4" s="5"/>
      <c r="WNV4" s="5"/>
      <c r="WNW4" s="5"/>
      <c r="WNX4" s="5"/>
      <c r="WNY4" s="5"/>
      <c r="WNZ4" s="5"/>
      <c r="WOA4" s="5"/>
      <c r="WOB4" s="5"/>
      <c r="WOC4" s="5"/>
      <c r="WOD4" s="5"/>
      <c r="WOE4" s="5"/>
      <c r="WOF4" s="5"/>
      <c r="WOG4" s="5"/>
      <c r="WOH4" s="5"/>
      <c r="WOI4" s="5"/>
      <c r="WOJ4" s="5"/>
      <c r="WOK4" s="5"/>
      <c r="WOL4" s="5"/>
      <c r="WOM4" s="5"/>
      <c r="WON4" s="5"/>
      <c r="WOO4" s="5"/>
      <c r="WOP4" s="5"/>
      <c r="WOQ4" s="5"/>
      <c r="WOR4" s="5"/>
      <c r="WOS4" s="5"/>
      <c r="WOT4" s="5"/>
      <c r="WOU4" s="5"/>
      <c r="WOV4" s="5"/>
      <c r="WOW4" s="5"/>
      <c r="WOX4" s="5"/>
      <c r="WOY4" s="5"/>
      <c r="WOZ4" s="5"/>
      <c r="WPA4" s="5"/>
      <c r="WPB4" s="5"/>
      <c r="WPC4" s="5"/>
      <c r="WPD4" s="5"/>
      <c r="WPE4" s="5"/>
      <c r="WPF4" s="5"/>
      <c r="WPG4" s="5"/>
      <c r="WPH4" s="5"/>
      <c r="WPI4" s="5"/>
      <c r="WPJ4" s="5"/>
      <c r="WPK4" s="5"/>
      <c r="WPL4" s="5"/>
      <c r="WPM4" s="5"/>
      <c r="WPN4" s="5"/>
      <c r="WPO4" s="5"/>
      <c r="WPP4" s="5"/>
      <c r="WPQ4" s="5"/>
      <c r="WPR4" s="5"/>
      <c r="WPS4" s="5"/>
      <c r="WPT4" s="5"/>
      <c r="WPU4" s="5"/>
      <c r="WPV4" s="5"/>
      <c r="WPW4" s="5"/>
      <c r="WPX4" s="5"/>
      <c r="WPY4" s="5"/>
      <c r="WPZ4" s="5"/>
      <c r="WQA4" s="5"/>
      <c r="WQB4" s="5"/>
      <c r="WQC4" s="5"/>
      <c r="WQD4" s="5"/>
      <c r="WQE4" s="5"/>
      <c r="WQF4" s="5"/>
      <c r="WQG4" s="5"/>
      <c r="WQH4" s="5"/>
      <c r="WQI4" s="5"/>
      <c r="WQJ4" s="5"/>
      <c r="WQK4" s="5"/>
      <c r="WQL4" s="5"/>
      <c r="WQM4" s="5"/>
      <c r="WQN4" s="5"/>
      <c r="WQO4" s="5"/>
      <c r="WQP4" s="5"/>
      <c r="WQQ4" s="5"/>
      <c r="WQR4" s="5"/>
      <c r="WQS4" s="5"/>
      <c r="WQT4" s="5"/>
      <c r="WQU4" s="5"/>
      <c r="WQV4" s="5"/>
      <c r="WQW4" s="5"/>
      <c r="WQX4" s="5"/>
      <c r="WQY4" s="5"/>
      <c r="WQZ4" s="5"/>
      <c r="WRA4" s="5"/>
      <c r="WRB4" s="5"/>
      <c r="WRC4" s="5"/>
      <c r="WRD4" s="5"/>
      <c r="WRE4" s="5"/>
      <c r="WRF4" s="5"/>
      <c r="WRG4" s="5"/>
      <c r="WRH4" s="5"/>
      <c r="WRI4" s="5"/>
      <c r="WRJ4" s="5"/>
      <c r="WRK4" s="5"/>
      <c r="WRL4" s="5"/>
      <c r="WRM4" s="5"/>
      <c r="WRN4" s="5"/>
      <c r="WRO4" s="5"/>
      <c r="WRP4" s="5"/>
      <c r="WRQ4" s="5"/>
      <c r="WRR4" s="5"/>
      <c r="WRS4" s="5"/>
      <c r="WRT4" s="5"/>
      <c r="WRU4" s="5"/>
      <c r="WRV4" s="5"/>
      <c r="WRW4" s="5"/>
      <c r="WRX4" s="5"/>
      <c r="WRY4" s="5"/>
      <c r="WRZ4" s="5"/>
      <c r="WSA4" s="5"/>
      <c r="WSB4" s="5"/>
      <c r="WSC4" s="5"/>
      <c r="WSD4" s="5"/>
      <c r="WSE4" s="5"/>
      <c r="WSF4" s="5"/>
      <c r="WSG4" s="5"/>
      <c r="WSH4" s="5"/>
      <c r="WSI4" s="5"/>
      <c r="WSJ4" s="5"/>
      <c r="WSK4" s="5"/>
      <c r="WSL4" s="5"/>
      <c r="WSM4" s="5"/>
      <c r="WSN4" s="5"/>
      <c r="WSO4" s="5"/>
      <c r="WSP4" s="5"/>
      <c r="WSQ4" s="5"/>
      <c r="WSR4" s="5"/>
      <c r="WSS4" s="5"/>
      <c r="WST4" s="5"/>
      <c r="WSU4" s="5"/>
      <c r="WSV4" s="5"/>
      <c r="WSW4" s="5"/>
      <c r="WSX4" s="5"/>
      <c r="WSY4" s="5"/>
      <c r="WSZ4" s="5"/>
      <c r="WTA4" s="5"/>
      <c r="WTB4" s="5"/>
      <c r="WTC4" s="5"/>
      <c r="WTD4" s="5"/>
      <c r="WTE4" s="5"/>
      <c r="WTF4" s="5"/>
      <c r="WTG4" s="5"/>
      <c r="WTH4" s="5"/>
      <c r="WTI4" s="5"/>
      <c r="WTJ4" s="5"/>
      <c r="WTK4" s="5"/>
      <c r="WTL4" s="5"/>
      <c r="WTM4" s="5"/>
      <c r="WTN4" s="5"/>
      <c r="WTO4" s="5"/>
      <c r="WTP4" s="5"/>
      <c r="WTQ4" s="5"/>
      <c r="WTR4" s="5"/>
      <c r="WTS4" s="5"/>
      <c r="WTT4" s="5"/>
      <c r="WTU4" s="5"/>
      <c r="WTV4" s="5"/>
      <c r="WTW4" s="5"/>
      <c r="WTX4" s="5"/>
      <c r="WTY4" s="5"/>
      <c r="WTZ4" s="5"/>
      <c r="WUA4" s="5"/>
      <c r="WUB4" s="5"/>
      <c r="WUC4" s="5"/>
      <c r="WUD4" s="5"/>
      <c r="WUE4" s="5"/>
      <c r="WUF4" s="5"/>
      <c r="WUG4" s="5"/>
      <c r="WUH4" s="5"/>
      <c r="WUI4" s="5"/>
      <c r="WUJ4" s="5"/>
      <c r="WUK4" s="5"/>
      <c r="WUL4" s="5"/>
      <c r="WUM4" s="5"/>
      <c r="WUN4" s="5"/>
      <c r="WUO4" s="5"/>
      <c r="WUP4" s="5"/>
      <c r="WUQ4" s="5"/>
      <c r="WUR4" s="5"/>
      <c r="WUS4" s="5"/>
      <c r="WUT4" s="5"/>
      <c r="WUU4" s="5"/>
      <c r="WUV4" s="5"/>
      <c r="WUW4" s="5"/>
      <c r="WUX4" s="5"/>
      <c r="WUY4" s="5"/>
      <c r="WUZ4" s="5"/>
      <c r="WVA4" s="5"/>
      <c r="WVB4" s="5"/>
      <c r="WVC4" s="5"/>
      <c r="WVD4" s="5"/>
      <c r="WVE4" s="5"/>
      <c r="WVF4" s="5"/>
      <c r="WVG4" s="5"/>
      <c r="WVH4" s="5"/>
      <c r="WVI4" s="5"/>
      <c r="WVJ4" s="5"/>
      <c r="WVK4" s="5"/>
      <c r="WVL4" s="5"/>
      <c r="WVM4" s="5"/>
      <c r="WVN4" s="5"/>
      <c r="WVO4" s="5"/>
      <c r="WVP4" s="5"/>
      <c r="WVQ4" s="5"/>
      <c r="WVR4" s="5"/>
      <c r="WVS4" s="5"/>
      <c r="WVT4" s="5"/>
      <c r="WVU4" s="5"/>
      <c r="WVV4" s="5"/>
      <c r="WVW4" s="5"/>
      <c r="WVX4" s="5"/>
      <c r="WVY4" s="5"/>
      <c r="WVZ4" s="5"/>
      <c r="WWA4" s="5"/>
      <c r="WWB4" s="5"/>
      <c r="WWC4" s="5"/>
      <c r="WWD4" s="5"/>
      <c r="WWE4" s="5"/>
      <c r="WWF4" s="5"/>
      <c r="WWG4" s="5"/>
      <c r="WWH4" s="5"/>
      <c r="WWI4" s="5"/>
      <c r="WWJ4" s="5"/>
      <c r="WWK4" s="5"/>
      <c r="WWL4" s="5"/>
      <c r="WWM4" s="5"/>
      <c r="WWN4" s="5"/>
      <c r="WWO4" s="5"/>
      <c r="WWP4" s="5"/>
      <c r="WWQ4" s="5"/>
      <c r="WWR4" s="5"/>
      <c r="WWS4" s="5"/>
      <c r="WWT4" s="5"/>
      <c r="WWU4" s="5"/>
      <c r="WWV4" s="5"/>
      <c r="WWW4" s="5"/>
      <c r="WWX4" s="5"/>
      <c r="WWY4" s="5"/>
      <c r="WWZ4" s="5"/>
      <c r="WXA4" s="5"/>
      <c r="WXB4" s="5"/>
      <c r="WXC4" s="5"/>
      <c r="WXD4" s="5"/>
      <c r="WXE4" s="5"/>
      <c r="WXF4" s="5"/>
      <c r="WXG4" s="5"/>
      <c r="WXH4" s="5"/>
      <c r="WXI4" s="5"/>
      <c r="WXJ4" s="5"/>
      <c r="WXK4" s="5"/>
      <c r="WXL4" s="5"/>
      <c r="WXM4" s="5"/>
      <c r="WXN4" s="5"/>
      <c r="WXO4" s="5"/>
      <c r="WXP4" s="5"/>
      <c r="WXQ4" s="5"/>
      <c r="WXR4" s="5"/>
      <c r="WXS4" s="5"/>
      <c r="WXT4" s="5"/>
      <c r="WXU4" s="5"/>
      <c r="WXV4" s="5"/>
      <c r="WXW4" s="5"/>
      <c r="WXX4" s="5"/>
      <c r="WXY4" s="5"/>
      <c r="WXZ4" s="5"/>
      <c r="WYA4" s="5"/>
      <c r="WYB4" s="5"/>
      <c r="WYC4" s="5"/>
      <c r="WYD4" s="5"/>
      <c r="WYE4" s="5"/>
      <c r="WYF4" s="5"/>
      <c r="WYG4" s="5"/>
      <c r="WYH4" s="5"/>
      <c r="WYI4" s="5"/>
      <c r="WYJ4" s="5"/>
      <c r="WYK4" s="5"/>
      <c r="WYL4" s="5"/>
      <c r="WYM4" s="5"/>
      <c r="WYN4" s="5"/>
      <c r="WYO4" s="5"/>
      <c r="WYP4" s="5"/>
      <c r="WYQ4" s="5"/>
      <c r="WYR4" s="5"/>
      <c r="WYS4" s="5"/>
      <c r="WYT4" s="5"/>
      <c r="WYU4" s="5"/>
      <c r="WYV4" s="5"/>
      <c r="WYW4" s="5"/>
      <c r="WYX4" s="5"/>
      <c r="WYY4" s="5"/>
      <c r="WYZ4" s="5"/>
      <c r="WZA4" s="5"/>
      <c r="WZB4" s="5"/>
      <c r="WZC4" s="5"/>
      <c r="WZD4" s="5"/>
      <c r="WZE4" s="5"/>
      <c r="WZF4" s="5"/>
      <c r="WZG4" s="5"/>
      <c r="WZH4" s="5"/>
      <c r="WZI4" s="5"/>
      <c r="WZJ4" s="5"/>
      <c r="WZK4" s="5"/>
      <c r="WZL4" s="5"/>
      <c r="WZM4" s="5"/>
      <c r="WZN4" s="5"/>
      <c r="WZO4" s="5"/>
      <c r="WZP4" s="5"/>
      <c r="WZQ4" s="5"/>
      <c r="WZR4" s="5"/>
      <c r="WZS4" s="5"/>
      <c r="WZT4" s="5"/>
      <c r="WZU4" s="5"/>
      <c r="WZV4" s="5"/>
      <c r="WZW4" s="5"/>
      <c r="WZX4" s="5"/>
      <c r="WZY4" s="5"/>
      <c r="WZZ4" s="5"/>
      <c r="XAA4" s="5"/>
      <c r="XAB4" s="5"/>
      <c r="XAC4" s="5"/>
      <c r="XAD4" s="5"/>
      <c r="XAE4" s="5"/>
      <c r="XAF4" s="5"/>
      <c r="XAG4" s="5"/>
      <c r="XAH4" s="5"/>
      <c r="XAI4" s="5"/>
      <c r="XAJ4" s="5"/>
      <c r="XAK4" s="5"/>
      <c r="XAL4" s="5"/>
      <c r="XAM4" s="5"/>
      <c r="XAN4" s="5"/>
      <c r="XAO4" s="5"/>
      <c r="XAP4" s="5"/>
      <c r="XAQ4" s="5"/>
      <c r="XAR4" s="5"/>
      <c r="XAS4" s="5"/>
      <c r="XAT4" s="5"/>
      <c r="XAU4" s="5"/>
      <c r="XAV4" s="5"/>
      <c r="XAW4" s="5"/>
      <c r="XAX4" s="5"/>
      <c r="XAY4" s="5"/>
      <c r="XAZ4" s="5"/>
      <c r="XBA4" s="5"/>
      <c r="XBB4" s="5"/>
      <c r="XBC4" s="5"/>
      <c r="XBD4" s="5"/>
      <c r="XBE4" s="5"/>
      <c r="XBF4" s="5"/>
      <c r="XBG4" s="5"/>
      <c r="XBH4" s="5"/>
      <c r="XBI4" s="5"/>
      <c r="XBJ4" s="5"/>
      <c r="XBK4" s="5"/>
      <c r="XBL4" s="5"/>
      <c r="XBM4" s="5"/>
      <c r="XBN4" s="5"/>
      <c r="XBO4" s="5"/>
      <c r="XBP4" s="5"/>
      <c r="XBQ4" s="5"/>
      <c r="XBR4" s="5"/>
      <c r="XBS4" s="5"/>
      <c r="XBT4" s="5"/>
      <c r="XBU4" s="5"/>
      <c r="XBV4" s="5"/>
      <c r="XBW4" s="5"/>
      <c r="XBX4" s="5"/>
      <c r="XBY4" s="5"/>
      <c r="XBZ4" s="5"/>
      <c r="XCA4" s="5"/>
      <c r="XCB4" s="5"/>
      <c r="XCC4" s="5"/>
      <c r="XCD4" s="5"/>
      <c r="XCE4" s="5"/>
      <c r="XCF4" s="5"/>
      <c r="XCG4" s="5"/>
      <c r="XCH4" s="5"/>
      <c r="XCI4" s="5"/>
      <c r="XCJ4" s="5"/>
      <c r="XCK4" s="5"/>
      <c r="XCL4" s="5"/>
      <c r="XCM4" s="5"/>
      <c r="XCN4" s="5"/>
      <c r="XCO4" s="5"/>
      <c r="XCP4" s="5"/>
      <c r="XCQ4" s="5"/>
      <c r="XCR4" s="5"/>
      <c r="XCS4" s="5"/>
      <c r="XCT4" s="5"/>
      <c r="XCU4" s="5"/>
      <c r="XCV4" s="5"/>
      <c r="XCW4" s="5"/>
      <c r="XCX4" s="5"/>
      <c r="XCY4" s="5"/>
      <c r="XCZ4" s="5"/>
      <c r="XDA4" s="5"/>
      <c r="XDB4" s="5"/>
      <c r="XDC4" s="5"/>
      <c r="XDD4" s="5"/>
      <c r="XDE4" s="5"/>
      <c r="XDF4" s="5"/>
      <c r="XDG4" s="5"/>
      <c r="XDH4" s="5"/>
      <c r="XDI4" s="5"/>
      <c r="XDJ4" s="5"/>
      <c r="XDK4" s="5"/>
      <c r="XDL4" s="5"/>
      <c r="XDM4" s="5"/>
      <c r="XDN4" s="5"/>
      <c r="XDO4" s="5"/>
      <c r="XDP4" s="5"/>
      <c r="XDQ4" s="5"/>
      <c r="XDR4" s="5"/>
      <c r="XDS4" s="5"/>
      <c r="XDT4" s="5"/>
      <c r="XDU4" s="5"/>
      <c r="XDV4" s="5"/>
      <c r="XDW4" s="5"/>
      <c r="XDX4" s="5"/>
      <c r="XDY4" s="5"/>
      <c r="XDZ4" s="5"/>
      <c r="XEA4" s="5"/>
    </row>
    <row r="5" spans="1:16355" s="5" customFormat="1" x14ac:dyDescent="0.25">
      <c r="A5" s="7" t="s">
        <v>5</v>
      </c>
      <c r="B5" s="8">
        <v>3884</v>
      </c>
    </row>
    <row r="6" spans="1:16355" s="5" customFormat="1" x14ac:dyDescent="0.25">
      <c r="A6" s="7" t="s">
        <v>6</v>
      </c>
      <c r="B6" s="8">
        <v>2879</v>
      </c>
    </row>
    <row r="7" spans="1:16355" s="5" customFormat="1" x14ac:dyDescent="0.25">
      <c r="A7" s="7" t="s">
        <v>494</v>
      </c>
      <c r="B7" s="8">
        <v>2299</v>
      </c>
    </row>
    <row r="8" spans="1:16355" s="5" customFormat="1" x14ac:dyDescent="0.25">
      <c r="A8" s="7" t="s">
        <v>597</v>
      </c>
      <c r="B8" s="8">
        <v>1105</v>
      </c>
    </row>
    <row r="9" spans="1:16355" s="5" customFormat="1" x14ac:dyDescent="0.25">
      <c r="A9" s="7" t="s">
        <v>598</v>
      </c>
      <c r="B9" s="8">
        <v>2058</v>
      </c>
    </row>
    <row r="10" spans="1:16355" s="5" customFormat="1" x14ac:dyDescent="0.25">
      <c r="A10" s="7" t="s">
        <v>495</v>
      </c>
      <c r="B10" s="8">
        <v>4131</v>
      </c>
    </row>
    <row r="11" spans="1:16355" s="5" customFormat="1" x14ac:dyDescent="0.25">
      <c r="A11" s="7" t="s">
        <v>496</v>
      </c>
      <c r="B11" s="8">
        <v>3987</v>
      </c>
    </row>
    <row r="12" spans="1:16355" s="5" customFormat="1" x14ac:dyDescent="0.25">
      <c r="A12" s="7" t="s">
        <v>599</v>
      </c>
      <c r="B12" s="8">
        <v>4036</v>
      </c>
    </row>
    <row r="13" spans="1:16355" s="5" customFormat="1" x14ac:dyDescent="0.25">
      <c r="A13" s="7" t="s">
        <v>497</v>
      </c>
      <c r="B13" s="8">
        <v>3669</v>
      </c>
    </row>
    <row r="14" spans="1:16355" s="5" customFormat="1" x14ac:dyDescent="0.25">
      <c r="A14" s="7" t="s">
        <v>600</v>
      </c>
      <c r="B14" s="8">
        <v>1892</v>
      </c>
    </row>
    <row r="15" spans="1:16355" s="5" customFormat="1" x14ac:dyDescent="0.25">
      <c r="A15" s="7" t="s">
        <v>498</v>
      </c>
      <c r="B15" s="8">
        <v>2112</v>
      </c>
    </row>
    <row r="16" spans="1:16355" s="5" customFormat="1" x14ac:dyDescent="0.25">
      <c r="A16" s="7" t="s">
        <v>499</v>
      </c>
      <c r="B16" s="8">
        <v>1286</v>
      </c>
    </row>
    <row r="17" spans="1:2" s="5" customFormat="1" x14ac:dyDescent="0.25">
      <c r="A17" s="7" t="s">
        <v>500</v>
      </c>
      <c r="B17" s="8">
        <v>1645</v>
      </c>
    </row>
    <row r="18" spans="1:2" s="5" customFormat="1" x14ac:dyDescent="0.25">
      <c r="A18" s="7" t="s">
        <v>501</v>
      </c>
      <c r="B18" s="8">
        <v>4457</v>
      </c>
    </row>
    <row r="19" spans="1:2" s="5" customFormat="1" x14ac:dyDescent="0.25">
      <c r="A19" s="7" t="s">
        <v>601</v>
      </c>
      <c r="B19" s="8">
        <v>3750</v>
      </c>
    </row>
    <row r="20" spans="1:2" s="5" customFormat="1" x14ac:dyDescent="0.25">
      <c r="A20" s="7" t="s">
        <v>602</v>
      </c>
      <c r="B20" s="8">
        <v>4047</v>
      </c>
    </row>
    <row r="21" spans="1:2" s="5" customFormat="1" x14ac:dyDescent="0.25">
      <c r="A21" s="7" t="s">
        <v>502</v>
      </c>
      <c r="B21" s="8">
        <v>2010</v>
      </c>
    </row>
    <row r="22" spans="1:2" s="5" customFormat="1" x14ac:dyDescent="0.25">
      <c r="A22" s="7" t="s">
        <v>603</v>
      </c>
      <c r="B22" s="8">
        <v>2807</v>
      </c>
    </row>
    <row r="23" spans="1:2" s="5" customFormat="1" x14ac:dyDescent="0.25">
      <c r="A23" s="7" t="s">
        <v>604</v>
      </c>
      <c r="B23" s="8">
        <v>4037</v>
      </c>
    </row>
    <row r="24" spans="1:2" s="5" customFormat="1" x14ac:dyDescent="0.25">
      <c r="A24" s="7" t="s">
        <v>605</v>
      </c>
      <c r="B24" s="8">
        <v>1136</v>
      </c>
    </row>
    <row r="25" spans="1:2" s="5" customFormat="1" x14ac:dyDescent="0.25">
      <c r="A25" s="7" t="s">
        <v>503</v>
      </c>
      <c r="B25" s="8">
        <v>3107</v>
      </c>
    </row>
    <row r="26" spans="1:2" s="5" customFormat="1" x14ac:dyDescent="0.25">
      <c r="A26" s="7" t="s">
        <v>606</v>
      </c>
      <c r="B26" s="8">
        <v>1944</v>
      </c>
    </row>
    <row r="27" spans="1:2" s="5" customFormat="1" x14ac:dyDescent="0.25">
      <c r="A27" s="7" t="s">
        <v>607</v>
      </c>
      <c r="B27" s="8">
        <v>1914</v>
      </c>
    </row>
    <row r="28" spans="1:2" s="5" customFormat="1" x14ac:dyDescent="0.25">
      <c r="A28" s="7" t="s">
        <v>608</v>
      </c>
      <c r="B28" s="8">
        <v>2148</v>
      </c>
    </row>
    <row r="29" spans="1:2" s="5" customFormat="1" x14ac:dyDescent="0.25">
      <c r="A29" s="7" t="s">
        <v>609</v>
      </c>
      <c r="B29" s="8">
        <v>3762</v>
      </c>
    </row>
    <row r="30" spans="1:2" s="5" customFormat="1" x14ac:dyDescent="0.25">
      <c r="A30" s="7" t="s">
        <v>504</v>
      </c>
      <c r="B30" s="8">
        <v>1743</v>
      </c>
    </row>
    <row r="31" spans="1:2" s="5" customFormat="1" x14ac:dyDescent="0.25">
      <c r="A31" s="7" t="s">
        <v>610</v>
      </c>
      <c r="B31" s="8">
        <v>3446</v>
      </c>
    </row>
    <row r="32" spans="1:2" s="5" customFormat="1" x14ac:dyDescent="0.25">
      <c r="A32" s="7" t="s">
        <v>611</v>
      </c>
      <c r="B32" s="8">
        <v>1859</v>
      </c>
    </row>
    <row r="33" spans="1:2" s="5" customFormat="1" x14ac:dyDescent="0.25">
      <c r="A33" s="7" t="s">
        <v>612</v>
      </c>
      <c r="B33" s="8">
        <v>1061</v>
      </c>
    </row>
    <row r="34" spans="1:2" s="5" customFormat="1" x14ac:dyDescent="0.25">
      <c r="A34" s="7" t="s">
        <v>613</v>
      </c>
      <c r="B34" s="8">
        <v>3079</v>
      </c>
    </row>
    <row r="35" spans="1:2" s="5" customFormat="1" x14ac:dyDescent="0.25">
      <c r="A35" s="7" t="s">
        <v>614</v>
      </c>
      <c r="B35" s="8">
        <v>2533</v>
      </c>
    </row>
    <row r="36" spans="1:2" s="5" customFormat="1" x14ac:dyDescent="0.25">
      <c r="A36" s="7" t="s">
        <v>615</v>
      </c>
      <c r="B36" s="8">
        <v>1437</v>
      </c>
    </row>
    <row r="37" spans="1:2" s="5" customFormat="1" x14ac:dyDescent="0.25">
      <c r="A37" s="7" t="s">
        <v>616</v>
      </c>
      <c r="B37" s="8">
        <v>3517</v>
      </c>
    </row>
    <row r="38" spans="1:2" s="5" customFormat="1" x14ac:dyDescent="0.25">
      <c r="A38" s="7" t="s">
        <v>617</v>
      </c>
      <c r="B38" s="8">
        <v>1384</v>
      </c>
    </row>
    <row r="39" spans="1:2" s="5" customFormat="1" x14ac:dyDescent="0.25">
      <c r="A39" s="7" t="s">
        <v>618</v>
      </c>
      <c r="B39" s="8">
        <v>1094</v>
      </c>
    </row>
    <row r="40" spans="1:2" s="5" customFormat="1" x14ac:dyDescent="0.25">
      <c r="A40" s="7" t="s">
        <v>619</v>
      </c>
      <c r="B40" s="8">
        <v>1324</v>
      </c>
    </row>
    <row r="41" spans="1:2" s="5" customFormat="1" x14ac:dyDescent="0.25">
      <c r="A41" s="7" t="s">
        <v>620</v>
      </c>
      <c r="B41" s="8">
        <v>1721</v>
      </c>
    </row>
    <row r="42" spans="1:2" s="5" customFormat="1" x14ac:dyDescent="0.25">
      <c r="A42" s="7" t="s">
        <v>621</v>
      </c>
      <c r="B42" s="8">
        <v>3960</v>
      </c>
    </row>
    <row r="43" spans="1:2" s="5" customFormat="1" x14ac:dyDescent="0.25">
      <c r="A43" s="7" t="s">
        <v>505</v>
      </c>
      <c r="B43" s="8">
        <v>1108</v>
      </c>
    </row>
    <row r="44" spans="1:2" s="5" customFormat="1" x14ac:dyDescent="0.25">
      <c r="A44" s="7" t="s">
        <v>506</v>
      </c>
      <c r="B44" s="8">
        <v>2217</v>
      </c>
    </row>
    <row r="45" spans="1:2" s="5" customFormat="1" x14ac:dyDescent="0.25">
      <c r="A45" s="7" t="s">
        <v>622</v>
      </c>
      <c r="B45" s="8">
        <v>1549</v>
      </c>
    </row>
    <row r="46" spans="1:2" s="5" customFormat="1" x14ac:dyDescent="0.25">
      <c r="A46" s="7" t="s">
        <v>507</v>
      </c>
      <c r="B46" s="8">
        <v>2057</v>
      </c>
    </row>
    <row r="47" spans="1:2" s="5" customFormat="1" x14ac:dyDescent="0.25">
      <c r="A47" s="7" t="s">
        <v>623</v>
      </c>
      <c r="B47" s="8">
        <v>2621</v>
      </c>
    </row>
    <row r="48" spans="1:2" s="5" customFormat="1" x14ac:dyDescent="0.25">
      <c r="A48" s="7" t="s">
        <v>508</v>
      </c>
      <c r="B48" s="8">
        <v>2780</v>
      </c>
    </row>
    <row r="49" spans="1:2" s="5" customFormat="1" x14ac:dyDescent="0.25">
      <c r="A49" s="7" t="s">
        <v>509</v>
      </c>
      <c r="B49" s="8">
        <v>2626</v>
      </c>
    </row>
    <row r="50" spans="1:2" s="5" customFormat="1" x14ac:dyDescent="0.25">
      <c r="A50" s="7" t="s">
        <v>624</v>
      </c>
      <c r="B50" s="8">
        <v>4651</v>
      </c>
    </row>
    <row r="51" spans="1:2" s="5" customFormat="1" x14ac:dyDescent="0.25">
      <c r="A51" s="7" t="s">
        <v>510</v>
      </c>
      <c r="B51" s="8">
        <v>1926</v>
      </c>
    </row>
    <row r="52" spans="1:2" s="5" customFormat="1" x14ac:dyDescent="0.25">
      <c r="A52" s="7" t="s">
        <v>625</v>
      </c>
      <c r="B52" s="8">
        <v>1818</v>
      </c>
    </row>
    <row r="53" spans="1:2" s="5" customFormat="1" x14ac:dyDescent="0.25">
      <c r="A53" s="7" t="s">
        <v>511</v>
      </c>
      <c r="B53" s="8">
        <v>2973</v>
      </c>
    </row>
    <row r="54" spans="1:2" s="5" customFormat="1" x14ac:dyDescent="0.25">
      <c r="A54" s="7" t="s">
        <v>512</v>
      </c>
      <c r="B54" s="8">
        <v>4240</v>
      </c>
    </row>
    <row r="55" spans="1:2" s="5" customFormat="1" x14ac:dyDescent="0.25">
      <c r="A55" s="7" t="s">
        <v>626</v>
      </c>
      <c r="B55" s="8">
        <v>3740</v>
      </c>
    </row>
    <row r="56" spans="1:2" s="5" customFormat="1" x14ac:dyDescent="0.25">
      <c r="A56" s="7" t="s">
        <v>513</v>
      </c>
      <c r="B56" s="8">
        <v>2887</v>
      </c>
    </row>
    <row r="57" spans="1:2" s="5" customFormat="1" x14ac:dyDescent="0.25">
      <c r="A57" s="7" t="s">
        <v>627</v>
      </c>
      <c r="B57" s="8">
        <v>1146</v>
      </c>
    </row>
    <row r="58" spans="1:2" s="5" customFormat="1" x14ac:dyDescent="0.25">
      <c r="A58" s="7" t="s">
        <v>628</v>
      </c>
      <c r="B58" s="8">
        <v>3196</v>
      </c>
    </row>
    <row r="59" spans="1:2" s="5" customFormat="1" x14ac:dyDescent="0.25">
      <c r="A59" s="7" t="s">
        <v>514</v>
      </c>
      <c r="B59" s="8">
        <v>1448</v>
      </c>
    </row>
    <row r="60" spans="1:2" s="5" customFormat="1" x14ac:dyDescent="0.25">
      <c r="A60" s="7" t="s">
        <v>629</v>
      </c>
      <c r="B60" s="8">
        <v>2579</v>
      </c>
    </row>
    <row r="61" spans="1:2" s="5" customFormat="1" x14ac:dyDescent="0.25">
      <c r="A61" s="7" t="s">
        <v>515</v>
      </c>
      <c r="B61" s="8">
        <v>2925</v>
      </c>
    </row>
    <row r="62" spans="1:2" s="5" customFormat="1" x14ac:dyDescent="0.25">
      <c r="A62" s="7" t="s">
        <v>516</v>
      </c>
      <c r="B62" s="8">
        <v>3620</v>
      </c>
    </row>
    <row r="63" spans="1:2" s="5" customFormat="1" x14ac:dyDescent="0.25">
      <c r="A63" s="7" t="s">
        <v>630</v>
      </c>
      <c r="B63" s="8">
        <v>2048</v>
      </c>
    </row>
    <row r="64" spans="1:2" s="5" customFormat="1" x14ac:dyDescent="0.25">
      <c r="A64" s="7" t="s">
        <v>517</v>
      </c>
      <c r="B64" s="8">
        <v>3320</v>
      </c>
    </row>
    <row r="65" spans="1:2" s="5" customFormat="1" x14ac:dyDescent="0.25">
      <c r="A65" s="7" t="s">
        <v>631</v>
      </c>
      <c r="B65" s="8">
        <v>4775</v>
      </c>
    </row>
    <row r="66" spans="1:2" s="5" customFormat="1" x14ac:dyDescent="0.25">
      <c r="A66" s="7" t="s">
        <v>518</v>
      </c>
      <c r="B66" s="8">
        <v>4943</v>
      </c>
    </row>
    <row r="67" spans="1:2" s="5" customFormat="1" x14ac:dyDescent="0.25">
      <c r="A67" s="7" t="s">
        <v>632</v>
      </c>
      <c r="B67" s="8">
        <v>2819</v>
      </c>
    </row>
    <row r="68" spans="1:2" s="5" customFormat="1" x14ac:dyDescent="0.25">
      <c r="A68" s="7" t="s">
        <v>633</v>
      </c>
      <c r="B68" s="8">
        <v>2084</v>
      </c>
    </row>
    <row r="69" spans="1:2" s="5" customFormat="1" x14ac:dyDescent="0.25">
      <c r="A69" s="7" t="s">
        <v>634</v>
      </c>
      <c r="B69" s="8">
        <v>3528</v>
      </c>
    </row>
    <row r="70" spans="1:2" s="5" customFormat="1" x14ac:dyDescent="0.25">
      <c r="A70" s="7" t="s">
        <v>519</v>
      </c>
      <c r="B70" s="8">
        <v>4938</v>
      </c>
    </row>
    <row r="71" spans="1:2" s="5" customFormat="1" x14ac:dyDescent="0.25">
      <c r="A71" s="7" t="s">
        <v>520</v>
      </c>
      <c r="B71" s="8">
        <v>2216</v>
      </c>
    </row>
    <row r="72" spans="1:2" s="5" customFormat="1" x14ac:dyDescent="0.25">
      <c r="A72" s="7" t="s">
        <v>521</v>
      </c>
      <c r="B72" s="8">
        <v>1506</v>
      </c>
    </row>
    <row r="73" spans="1:2" s="5" customFormat="1" x14ac:dyDescent="0.25">
      <c r="A73" s="7" t="s">
        <v>522</v>
      </c>
      <c r="B73" s="8">
        <v>3962</v>
      </c>
    </row>
    <row r="74" spans="1:2" s="5" customFormat="1" x14ac:dyDescent="0.25">
      <c r="A74" s="7" t="s">
        <v>523</v>
      </c>
      <c r="B74" s="8">
        <v>4559</v>
      </c>
    </row>
    <row r="75" spans="1:2" s="5" customFormat="1" x14ac:dyDescent="0.25">
      <c r="A75" s="7" t="s">
        <v>635</v>
      </c>
      <c r="B75" s="8">
        <v>4837</v>
      </c>
    </row>
    <row r="76" spans="1:2" s="5" customFormat="1" x14ac:dyDescent="0.25">
      <c r="A76" s="7" t="s">
        <v>636</v>
      </c>
      <c r="B76" s="8">
        <v>2262</v>
      </c>
    </row>
    <row r="77" spans="1:2" s="5" customFormat="1" x14ac:dyDescent="0.25">
      <c r="A77" s="7" t="s">
        <v>637</v>
      </c>
      <c r="B77" s="8">
        <v>4784</v>
      </c>
    </row>
    <row r="78" spans="1:2" s="5" customFormat="1" x14ac:dyDescent="0.25">
      <c r="A78" s="7" t="s">
        <v>638</v>
      </c>
      <c r="B78" s="8">
        <v>2765</v>
      </c>
    </row>
    <row r="79" spans="1:2" s="5" customFormat="1" x14ac:dyDescent="0.25">
      <c r="A79" s="7" t="s">
        <v>639</v>
      </c>
      <c r="B79" s="8">
        <v>3938</v>
      </c>
    </row>
    <row r="80" spans="1:2" s="5" customFormat="1" x14ac:dyDescent="0.25">
      <c r="A80" s="7" t="s">
        <v>524</v>
      </c>
      <c r="B80" s="8">
        <v>5000</v>
      </c>
    </row>
    <row r="81" spans="1:2" s="5" customFormat="1" x14ac:dyDescent="0.25">
      <c r="A81" s="7" t="s">
        <v>640</v>
      </c>
      <c r="B81" s="8">
        <v>2093</v>
      </c>
    </row>
    <row r="82" spans="1:2" s="5" customFormat="1" x14ac:dyDescent="0.25">
      <c r="A82" s="7" t="s">
        <v>641</v>
      </c>
      <c r="B82" s="8">
        <v>2521</v>
      </c>
    </row>
    <row r="83" spans="1:2" s="5" customFormat="1" x14ac:dyDescent="0.25">
      <c r="A83" s="7" t="s">
        <v>525</v>
      </c>
      <c r="B83" s="8">
        <v>4717</v>
      </c>
    </row>
    <row r="84" spans="1:2" s="5" customFormat="1" x14ac:dyDescent="0.25">
      <c r="A84" s="7" t="s">
        <v>642</v>
      </c>
      <c r="B84" s="8">
        <v>1632</v>
      </c>
    </row>
    <row r="85" spans="1:2" s="5" customFormat="1" x14ac:dyDescent="0.25">
      <c r="A85" s="7" t="s">
        <v>526</v>
      </c>
      <c r="B85" s="8">
        <v>3865</v>
      </c>
    </row>
    <row r="86" spans="1:2" s="5" customFormat="1" x14ac:dyDescent="0.25">
      <c r="A86" s="7" t="s">
        <v>527</v>
      </c>
      <c r="B86" s="8">
        <v>1679</v>
      </c>
    </row>
    <row r="87" spans="1:2" s="5" customFormat="1" x14ac:dyDescent="0.25">
      <c r="A87" s="7" t="s">
        <v>643</v>
      </c>
      <c r="B87" s="8">
        <v>3535</v>
      </c>
    </row>
    <row r="88" spans="1:2" s="5" customFormat="1" x14ac:dyDescent="0.25">
      <c r="A88" s="7" t="s">
        <v>528</v>
      </c>
      <c r="B88" s="8">
        <v>4328</v>
      </c>
    </row>
    <row r="89" spans="1:2" s="5" customFormat="1" x14ac:dyDescent="0.25">
      <c r="A89" s="7" t="s">
        <v>529</v>
      </c>
      <c r="B89" s="8">
        <v>1673</v>
      </c>
    </row>
    <row r="90" spans="1:2" s="5" customFormat="1" x14ac:dyDescent="0.25">
      <c r="A90" s="7" t="s">
        <v>644</v>
      </c>
      <c r="B90" s="8">
        <v>2591</v>
      </c>
    </row>
    <row r="91" spans="1:2" s="5" customFormat="1" x14ac:dyDescent="0.25">
      <c r="A91" s="7" t="s">
        <v>530</v>
      </c>
      <c r="B91" s="8">
        <v>3043</v>
      </c>
    </row>
    <row r="92" spans="1:2" s="5" customFormat="1" x14ac:dyDescent="0.25">
      <c r="A92" s="7" t="s">
        <v>531</v>
      </c>
      <c r="B92" s="8">
        <v>4074</v>
      </c>
    </row>
    <row r="93" spans="1:2" s="5" customFormat="1" x14ac:dyDescent="0.25">
      <c r="A93" s="7" t="s">
        <v>532</v>
      </c>
      <c r="B93" s="8">
        <v>1149</v>
      </c>
    </row>
    <row r="94" spans="1:2" s="5" customFormat="1" x14ac:dyDescent="0.25">
      <c r="A94" s="7" t="s">
        <v>645</v>
      </c>
      <c r="B94" s="8">
        <v>1857</v>
      </c>
    </row>
    <row r="95" spans="1:2" s="5" customFormat="1" x14ac:dyDescent="0.25">
      <c r="A95" s="7" t="s">
        <v>533</v>
      </c>
      <c r="B95" s="8">
        <v>2286</v>
      </c>
    </row>
    <row r="96" spans="1:2" s="5" customFormat="1" x14ac:dyDescent="0.25">
      <c r="A96" s="7" t="s">
        <v>534</v>
      </c>
      <c r="B96" s="8">
        <v>1053</v>
      </c>
    </row>
    <row r="97" spans="1:2" s="5" customFormat="1" x14ac:dyDescent="0.25">
      <c r="A97" s="7" t="s">
        <v>646</v>
      </c>
      <c r="B97" s="8">
        <v>3723</v>
      </c>
    </row>
    <row r="98" spans="1:2" s="5" customFormat="1" x14ac:dyDescent="0.25">
      <c r="A98" s="7" t="s">
        <v>535</v>
      </c>
      <c r="B98" s="8">
        <v>2596</v>
      </c>
    </row>
    <row r="99" spans="1:2" s="5" customFormat="1" x14ac:dyDescent="0.25">
      <c r="A99" s="7" t="s">
        <v>536</v>
      </c>
      <c r="B99" s="8">
        <v>1630</v>
      </c>
    </row>
    <row r="100" spans="1:2" s="5" customFormat="1" x14ac:dyDescent="0.25">
      <c r="A100" s="7" t="s">
        <v>537</v>
      </c>
      <c r="B100" s="8">
        <v>4786</v>
      </c>
    </row>
    <row r="101" spans="1:2" s="5" customFormat="1" x14ac:dyDescent="0.25">
      <c r="A101" s="7" t="s">
        <v>538</v>
      </c>
      <c r="B101" s="8">
        <v>4843</v>
      </c>
    </row>
    <row r="102" spans="1:2" s="5" customFormat="1" x14ac:dyDescent="0.25">
      <c r="A102" s="7" t="s">
        <v>647</v>
      </c>
      <c r="B102" s="8">
        <v>1243</v>
      </c>
    </row>
    <row r="103" spans="1:2" s="5" customFormat="1" x14ac:dyDescent="0.25">
      <c r="A103" s="7" t="s">
        <v>648</v>
      </c>
      <c r="B103" s="8">
        <v>1880</v>
      </c>
    </row>
    <row r="104" spans="1:2" s="5" customFormat="1" x14ac:dyDescent="0.25">
      <c r="A104" s="7" t="s">
        <v>649</v>
      </c>
      <c r="B104" s="8">
        <v>1990</v>
      </c>
    </row>
    <row r="105" spans="1:2" s="5" customFormat="1" x14ac:dyDescent="0.25">
      <c r="A105" s="7" t="s">
        <v>539</v>
      </c>
      <c r="B105" s="8">
        <v>3250</v>
      </c>
    </row>
    <row r="106" spans="1:2" s="5" customFormat="1" x14ac:dyDescent="0.25">
      <c r="A106" s="7" t="s">
        <v>540</v>
      </c>
      <c r="B106" s="8">
        <v>3747</v>
      </c>
    </row>
    <row r="107" spans="1:2" s="5" customFormat="1" x14ac:dyDescent="0.25">
      <c r="A107" s="7" t="s">
        <v>541</v>
      </c>
      <c r="B107" s="8">
        <v>4003</v>
      </c>
    </row>
    <row r="108" spans="1:2" s="5" customFormat="1" x14ac:dyDescent="0.25">
      <c r="A108" s="7" t="s">
        <v>650</v>
      </c>
      <c r="B108" s="8">
        <v>2509</v>
      </c>
    </row>
    <row r="109" spans="1:2" s="5" customFormat="1" x14ac:dyDescent="0.25">
      <c r="A109" s="7" t="s">
        <v>542</v>
      </c>
      <c r="B109" s="8">
        <v>3245</v>
      </c>
    </row>
    <row r="110" spans="1:2" s="5" customFormat="1" x14ac:dyDescent="0.25">
      <c r="A110" s="7" t="s">
        <v>543</v>
      </c>
      <c r="B110" s="8">
        <v>4149</v>
      </c>
    </row>
    <row r="111" spans="1:2" s="5" customFormat="1" x14ac:dyDescent="0.25">
      <c r="A111" s="7" t="s">
        <v>651</v>
      </c>
      <c r="B111" s="8">
        <v>2216</v>
      </c>
    </row>
    <row r="112" spans="1:2" s="5" customFormat="1" x14ac:dyDescent="0.25">
      <c r="A112" s="7" t="s">
        <v>544</v>
      </c>
      <c r="B112" s="8">
        <v>3752</v>
      </c>
    </row>
    <row r="113" spans="1:2" s="5" customFormat="1" x14ac:dyDescent="0.25">
      <c r="A113" s="7" t="s">
        <v>545</v>
      </c>
      <c r="B113" s="8">
        <v>1904</v>
      </c>
    </row>
    <row r="114" spans="1:2" s="5" customFormat="1" x14ac:dyDescent="0.25">
      <c r="A114" s="7" t="s">
        <v>546</v>
      </c>
      <c r="B114" s="8">
        <v>1157</v>
      </c>
    </row>
    <row r="115" spans="1:2" s="5" customFormat="1" x14ac:dyDescent="0.25">
      <c r="A115" s="7" t="s">
        <v>547</v>
      </c>
      <c r="B115" s="8">
        <v>4631</v>
      </c>
    </row>
    <row r="116" spans="1:2" s="5" customFormat="1" x14ac:dyDescent="0.25">
      <c r="A116" s="7" t="s">
        <v>652</v>
      </c>
      <c r="B116" s="8">
        <v>1011</v>
      </c>
    </row>
    <row r="117" spans="1:2" s="5" customFormat="1" x14ac:dyDescent="0.25">
      <c r="A117" s="7" t="s">
        <v>548</v>
      </c>
      <c r="B117" s="8">
        <v>1408</v>
      </c>
    </row>
    <row r="118" spans="1:2" s="5" customFormat="1" x14ac:dyDescent="0.25">
      <c r="A118" s="7" t="s">
        <v>549</v>
      </c>
      <c r="B118" s="8">
        <v>2064</v>
      </c>
    </row>
    <row r="119" spans="1:2" s="5" customFormat="1" x14ac:dyDescent="0.25">
      <c r="A119" s="7" t="s">
        <v>550</v>
      </c>
      <c r="B119" s="8">
        <v>2815</v>
      </c>
    </row>
    <row r="120" spans="1:2" s="5" customFormat="1" x14ac:dyDescent="0.25">
      <c r="A120" s="7" t="s">
        <v>551</v>
      </c>
      <c r="B120" s="8">
        <v>3624</v>
      </c>
    </row>
    <row r="121" spans="1:2" s="5" customFormat="1" x14ac:dyDescent="0.25">
      <c r="A121" s="7" t="s">
        <v>552</v>
      </c>
      <c r="B121" s="8">
        <v>3262</v>
      </c>
    </row>
    <row r="122" spans="1:2" s="5" customFormat="1" x14ac:dyDescent="0.25">
      <c r="A122" s="7" t="s">
        <v>553</v>
      </c>
      <c r="B122" s="8">
        <v>1208</v>
      </c>
    </row>
    <row r="123" spans="1:2" s="5" customFormat="1" x14ac:dyDescent="0.25">
      <c r="A123" s="7" t="s">
        <v>653</v>
      </c>
      <c r="B123" s="8">
        <v>2184</v>
      </c>
    </row>
    <row r="124" spans="1:2" s="5" customFormat="1" x14ac:dyDescent="0.25">
      <c r="A124" s="7" t="s">
        <v>654</v>
      </c>
      <c r="B124" s="8">
        <v>1251</v>
      </c>
    </row>
    <row r="125" spans="1:2" s="5" customFormat="1" x14ac:dyDescent="0.25">
      <c r="A125" s="7" t="s">
        <v>554</v>
      </c>
      <c r="B125" s="8">
        <v>3235</v>
      </c>
    </row>
    <row r="126" spans="1:2" s="5" customFormat="1" x14ac:dyDescent="0.25">
      <c r="A126" s="7" t="s">
        <v>555</v>
      </c>
      <c r="B126" s="8">
        <v>3984</v>
      </c>
    </row>
    <row r="127" spans="1:2" s="5" customFormat="1" x14ac:dyDescent="0.25">
      <c r="A127" s="7" t="s">
        <v>556</v>
      </c>
      <c r="B127" s="8">
        <v>4201</v>
      </c>
    </row>
    <row r="128" spans="1:2" s="5" customFormat="1" x14ac:dyDescent="0.25">
      <c r="A128" s="7" t="s">
        <v>655</v>
      </c>
      <c r="B128" s="8">
        <v>1784</v>
      </c>
    </row>
    <row r="129" spans="1:2" s="5" customFormat="1" x14ac:dyDescent="0.25">
      <c r="A129" s="7" t="s">
        <v>656</v>
      </c>
      <c r="B129" s="8">
        <v>3131</v>
      </c>
    </row>
    <row r="130" spans="1:2" s="5" customFormat="1" x14ac:dyDescent="0.25">
      <c r="A130" s="7" t="s">
        <v>557</v>
      </c>
      <c r="B130" s="8">
        <v>2371</v>
      </c>
    </row>
    <row r="131" spans="1:2" s="5" customFormat="1" x14ac:dyDescent="0.25">
      <c r="A131" s="7" t="s">
        <v>558</v>
      </c>
      <c r="B131" s="8">
        <v>4782</v>
      </c>
    </row>
    <row r="132" spans="1:2" s="5" customFormat="1" x14ac:dyDescent="0.25">
      <c r="A132" s="7" t="s">
        <v>559</v>
      </c>
      <c r="B132" s="8">
        <v>1267</v>
      </c>
    </row>
    <row r="133" spans="1:2" s="5" customFormat="1" x14ac:dyDescent="0.25">
      <c r="A133" s="7" t="s">
        <v>560</v>
      </c>
      <c r="B133" s="8">
        <v>2706</v>
      </c>
    </row>
    <row r="134" spans="1:2" s="5" customFormat="1" x14ac:dyDescent="0.25">
      <c r="A134" s="7" t="s">
        <v>561</v>
      </c>
      <c r="B134" s="8">
        <v>3975</v>
      </c>
    </row>
    <row r="135" spans="1:2" s="5" customFormat="1" x14ac:dyDescent="0.25">
      <c r="A135" s="7" t="s">
        <v>657</v>
      </c>
      <c r="B135" s="8">
        <v>3505</v>
      </c>
    </row>
    <row r="136" spans="1:2" s="5" customFormat="1" x14ac:dyDescent="0.25">
      <c r="A136" s="7" t="s">
        <v>562</v>
      </c>
      <c r="B136" s="8">
        <v>4205</v>
      </c>
    </row>
    <row r="137" spans="1:2" s="5" customFormat="1" x14ac:dyDescent="0.25">
      <c r="A137" s="7" t="s">
        <v>658</v>
      </c>
      <c r="B137" s="8">
        <v>4626</v>
      </c>
    </row>
    <row r="138" spans="1:2" s="5" customFormat="1" x14ac:dyDescent="0.25">
      <c r="A138" s="7" t="s">
        <v>563</v>
      </c>
      <c r="B138" s="8">
        <v>1991</v>
      </c>
    </row>
    <row r="139" spans="1:2" s="5" customFormat="1" x14ac:dyDescent="0.25">
      <c r="A139" s="7" t="s">
        <v>564</v>
      </c>
      <c r="B139" s="8">
        <v>3559</v>
      </c>
    </row>
    <row r="140" spans="1:2" s="5" customFormat="1" x14ac:dyDescent="0.25">
      <c r="A140" s="7" t="s">
        <v>659</v>
      </c>
      <c r="B140" s="8">
        <v>1197</v>
      </c>
    </row>
    <row r="141" spans="1:2" s="5" customFormat="1" x14ac:dyDescent="0.25">
      <c r="A141" s="7" t="s">
        <v>565</v>
      </c>
      <c r="B141" s="8">
        <v>2664</v>
      </c>
    </row>
    <row r="142" spans="1:2" s="5" customFormat="1" x14ac:dyDescent="0.25">
      <c r="A142" s="7" t="s">
        <v>566</v>
      </c>
      <c r="B142" s="8">
        <v>2606</v>
      </c>
    </row>
    <row r="143" spans="1:2" s="5" customFormat="1" x14ac:dyDescent="0.25">
      <c r="A143" s="7" t="s">
        <v>660</v>
      </c>
      <c r="B143" s="8">
        <v>4521</v>
      </c>
    </row>
    <row r="144" spans="1:2" s="5" customFormat="1" x14ac:dyDescent="0.25">
      <c r="A144" s="7" t="s">
        <v>567</v>
      </c>
      <c r="B144" s="8">
        <v>3079</v>
      </c>
    </row>
    <row r="145" spans="1:2" s="5" customFormat="1" x14ac:dyDescent="0.25">
      <c r="A145" s="7" t="s">
        <v>661</v>
      </c>
      <c r="B145" s="8">
        <v>2250</v>
      </c>
    </row>
    <row r="146" spans="1:2" s="5" customFormat="1" x14ac:dyDescent="0.25">
      <c r="A146" s="7" t="s">
        <v>662</v>
      </c>
      <c r="B146" s="8">
        <v>2597</v>
      </c>
    </row>
    <row r="147" spans="1:2" s="5" customFormat="1" x14ac:dyDescent="0.25">
      <c r="A147" s="7" t="s">
        <v>663</v>
      </c>
      <c r="B147" s="8">
        <v>3231</v>
      </c>
    </row>
    <row r="148" spans="1:2" s="5" customFormat="1" x14ac:dyDescent="0.25">
      <c r="A148" s="7" t="s">
        <v>568</v>
      </c>
      <c r="B148" s="8">
        <v>3237</v>
      </c>
    </row>
    <row r="149" spans="1:2" s="5" customFormat="1" x14ac:dyDescent="0.25">
      <c r="A149" s="7" t="s">
        <v>569</v>
      </c>
      <c r="B149" s="8">
        <v>3557</v>
      </c>
    </row>
    <row r="150" spans="1:2" s="5" customFormat="1" x14ac:dyDescent="0.25">
      <c r="A150" s="7" t="s">
        <v>664</v>
      </c>
      <c r="B150" s="8">
        <v>1277</v>
      </c>
    </row>
    <row r="151" spans="1:2" s="5" customFormat="1" x14ac:dyDescent="0.25">
      <c r="A151" s="7" t="s">
        <v>570</v>
      </c>
      <c r="B151" s="8">
        <v>1878</v>
      </c>
    </row>
    <row r="152" spans="1:2" s="5" customFormat="1" x14ac:dyDescent="0.25">
      <c r="A152" s="7" t="s">
        <v>665</v>
      </c>
      <c r="B152" s="8">
        <v>4194</v>
      </c>
    </row>
    <row r="153" spans="1:2" s="5" customFormat="1" x14ac:dyDescent="0.25">
      <c r="A153" s="7" t="s">
        <v>571</v>
      </c>
      <c r="B153" s="8">
        <v>1259</v>
      </c>
    </row>
    <row r="154" spans="1:2" s="5" customFormat="1" x14ac:dyDescent="0.25">
      <c r="A154" s="7" t="s">
        <v>572</v>
      </c>
      <c r="B154" s="8">
        <v>1266</v>
      </c>
    </row>
    <row r="155" spans="1:2" s="5" customFormat="1" x14ac:dyDescent="0.25">
      <c r="A155" s="7" t="s">
        <v>666</v>
      </c>
      <c r="B155" s="8">
        <v>2027</v>
      </c>
    </row>
    <row r="156" spans="1:2" s="5" customFormat="1" x14ac:dyDescent="0.25">
      <c r="A156" s="7" t="s">
        <v>667</v>
      </c>
      <c r="B156" s="8">
        <v>4729</v>
      </c>
    </row>
    <row r="157" spans="1:2" s="5" customFormat="1" x14ac:dyDescent="0.25">
      <c r="A157" s="7" t="s">
        <v>573</v>
      </c>
      <c r="B157" s="8">
        <v>1466</v>
      </c>
    </row>
    <row r="158" spans="1:2" x14ac:dyDescent="0.25">
      <c r="A158" s="7" t="s">
        <v>574</v>
      </c>
      <c r="B158" s="8">
        <v>2590</v>
      </c>
    </row>
    <row r="159" spans="1:2" x14ac:dyDescent="0.25">
      <c r="A159" s="7" t="s">
        <v>668</v>
      </c>
      <c r="B159" s="8">
        <v>3472</v>
      </c>
    </row>
    <row r="160" spans="1:2" x14ac:dyDescent="0.25">
      <c r="A160" s="7" t="s">
        <v>669</v>
      </c>
      <c r="B160" s="8">
        <v>4508</v>
      </c>
    </row>
    <row r="161" spans="1:2" x14ac:dyDescent="0.25">
      <c r="A161" s="7" t="s">
        <v>670</v>
      </c>
      <c r="B161" s="8">
        <v>2125</v>
      </c>
    </row>
    <row r="162" spans="1:2" x14ac:dyDescent="0.25">
      <c r="A162" s="7" t="s">
        <v>671</v>
      </c>
      <c r="B162" s="8">
        <v>4911</v>
      </c>
    </row>
    <row r="163" spans="1:2" x14ac:dyDescent="0.25">
      <c r="A163" s="7" t="s">
        <v>672</v>
      </c>
      <c r="B163" s="8">
        <v>3866</v>
      </c>
    </row>
    <row r="164" spans="1:2" x14ac:dyDescent="0.25">
      <c r="A164" s="7" t="s">
        <v>673</v>
      </c>
      <c r="B164" s="8">
        <v>1222</v>
      </c>
    </row>
    <row r="165" spans="1:2" x14ac:dyDescent="0.25">
      <c r="A165" s="7" t="s">
        <v>674</v>
      </c>
      <c r="B165" s="8">
        <v>1319</v>
      </c>
    </row>
    <row r="166" spans="1:2" x14ac:dyDescent="0.25">
      <c r="A166" s="7" t="s">
        <v>675</v>
      </c>
      <c r="B166" s="8">
        <v>3542</v>
      </c>
    </row>
    <row r="167" spans="1:2" x14ac:dyDescent="0.25">
      <c r="A167" s="7" t="s">
        <v>676</v>
      </c>
      <c r="B167" s="8">
        <v>1272</v>
      </c>
    </row>
    <row r="168" spans="1:2" x14ac:dyDescent="0.25">
      <c r="A168" s="7" t="s">
        <v>677</v>
      </c>
      <c r="B168" s="8">
        <v>2500</v>
      </c>
    </row>
    <row r="169" spans="1:2" x14ac:dyDescent="0.25">
      <c r="A169" s="7" t="s">
        <v>678</v>
      </c>
      <c r="B169" s="8">
        <v>2125</v>
      </c>
    </row>
    <row r="170" spans="1:2" x14ac:dyDescent="0.25">
      <c r="A170" s="7" t="s">
        <v>575</v>
      </c>
      <c r="B170" s="8">
        <v>2561</v>
      </c>
    </row>
    <row r="171" spans="1:2" x14ac:dyDescent="0.25">
      <c r="A171" s="7" t="s">
        <v>576</v>
      </c>
      <c r="B171" s="8">
        <v>4252</v>
      </c>
    </row>
    <row r="172" spans="1:2" x14ac:dyDescent="0.25">
      <c r="A172" s="7" t="s">
        <v>577</v>
      </c>
      <c r="B172" s="8">
        <v>1739</v>
      </c>
    </row>
    <row r="173" spans="1:2" x14ac:dyDescent="0.25">
      <c r="A173" s="7" t="s">
        <v>578</v>
      </c>
      <c r="B173" s="8">
        <v>3245</v>
      </c>
    </row>
    <row r="174" spans="1:2" x14ac:dyDescent="0.25">
      <c r="A174" s="7" t="s">
        <v>579</v>
      </c>
      <c r="B174" s="8">
        <v>3251</v>
      </c>
    </row>
    <row r="175" spans="1:2" x14ac:dyDescent="0.25">
      <c r="A175" s="7" t="s">
        <v>679</v>
      </c>
      <c r="B175" s="8">
        <v>1986</v>
      </c>
    </row>
    <row r="176" spans="1:2" x14ac:dyDescent="0.25">
      <c r="A176" s="7" t="s">
        <v>680</v>
      </c>
      <c r="B176" s="8">
        <v>3637</v>
      </c>
    </row>
    <row r="177" spans="1:2" x14ac:dyDescent="0.25">
      <c r="A177" s="7" t="s">
        <v>681</v>
      </c>
      <c r="B177" s="8">
        <v>4579</v>
      </c>
    </row>
    <row r="178" spans="1:2" x14ac:dyDescent="0.25">
      <c r="A178" s="7" t="s">
        <v>682</v>
      </c>
      <c r="B178" s="8">
        <v>3276</v>
      </c>
    </row>
    <row r="179" spans="1:2" x14ac:dyDescent="0.25">
      <c r="A179" s="7" t="s">
        <v>580</v>
      </c>
      <c r="B179" s="8">
        <v>3883</v>
      </c>
    </row>
    <row r="180" spans="1:2" x14ac:dyDescent="0.25">
      <c r="A180" s="7" t="s">
        <v>683</v>
      </c>
      <c r="B180" s="8">
        <v>2096</v>
      </c>
    </row>
    <row r="181" spans="1:2" x14ac:dyDescent="0.25">
      <c r="A181" s="7" t="s">
        <v>684</v>
      </c>
      <c r="B181" s="8">
        <v>3456</v>
      </c>
    </row>
    <row r="182" spans="1:2" x14ac:dyDescent="0.25">
      <c r="A182" s="7" t="s">
        <v>581</v>
      </c>
      <c r="B182" s="8">
        <v>4202</v>
      </c>
    </row>
    <row r="183" spans="1:2" x14ac:dyDescent="0.25">
      <c r="A183" s="7" t="s">
        <v>582</v>
      </c>
      <c r="B183" s="8">
        <v>2601</v>
      </c>
    </row>
    <row r="184" spans="1:2" x14ac:dyDescent="0.25">
      <c r="A184" s="7" t="s">
        <v>583</v>
      </c>
      <c r="B184" s="8">
        <v>4195</v>
      </c>
    </row>
    <row r="185" spans="1:2" x14ac:dyDescent="0.25">
      <c r="A185" s="7" t="s">
        <v>584</v>
      </c>
      <c r="B185" s="8">
        <v>4488</v>
      </c>
    </row>
    <row r="186" spans="1:2" x14ac:dyDescent="0.25">
      <c r="A186" s="7" t="s">
        <v>685</v>
      </c>
      <c r="B186" s="8">
        <v>4325</v>
      </c>
    </row>
    <row r="187" spans="1:2" x14ac:dyDescent="0.25">
      <c r="A187" s="7" t="s">
        <v>585</v>
      </c>
      <c r="B187" s="8">
        <v>3753</v>
      </c>
    </row>
    <row r="188" spans="1:2" x14ac:dyDescent="0.25">
      <c r="A188" s="7" t="s">
        <v>586</v>
      </c>
      <c r="B188" s="8">
        <v>1028</v>
      </c>
    </row>
    <row r="189" spans="1:2" x14ac:dyDescent="0.25">
      <c r="A189" s="7" t="s">
        <v>587</v>
      </c>
      <c r="B189" s="8">
        <v>1294</v>
      </c>
    </row>
    <row r="190" spans="1:2" x14ac:dyDescent="0.25">
      <c r="A190" s="7" t="s">
        <v>588</v>
      </c>
      <c r="B190" s="8">
        <v>3360</v>
      </c>
    </row>
    <row r="191" spans="1:2" x14ac:dyDescent="0.25">
      <c r="A191" s="7" t="s">
        <v>589</v>
      </c>
      <c r="B191" s="8">
        <v>3836</v>
      </c>
    </row>
    <row r="192" spans="1:2" x14ac:dyDescent="0.25">
      <c r="A192" s="7" t="s">
        <v>590</v>
      </c>
      <c r="B192" s="8">
        <v>3190</v>
      </c>
    </row>
    <row r="193" spans="1:2" x14ac:dyDescent="0.25">
      <c r="A193" s="7" t="s">
        <v>591</v>
      </c>
      <c r="B193" s="8">
        <v>4087</v>
      </c>
    </row>
    <row r="194" spans="1:2" x14ac:dyDescent="0.25">
      <c r="A194" s="7" t="s">
        <v>592</v>
      </c>
      <c r="B194" s="8">
        <v>3900</v>
      </c>
    </row>
    <row r="195" spans="1:2" x14ac:dyDescent="0.25">
      <c r="A195" s="7" t="s">
        <v>593</v>
      </c>
      <c r="B195" s="8">
        <v>1805</v>
      </c>
    </row>
    <row r="196" spans="1:2" x14ac:dyDescent="0.25">
      <c r="A196" s="7" t="s">
        <v>594</v>
      </c>
      <c r="B196" s="8">
        <v>1625</v>
      </c>
    </row>
    <row r="197" spans="1:2" x14ac:dyDescent="0.25">
      <c r="A197" s="7" t="s">
        <v>595</v>
      </c>
      <c r="B197" s="8">
        <v>4996</v>
      </c>
    </row>
    <row r="198" spans="1:2" ht="13.5" thickBot="1" x14ac:dyDescent="0.3">
      <c r="A198" s="9" t="s">
        <v>596</v>
      </c>
      <c r="B198" s="10">
        <v>4090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B4CA-B129-4197-BD44-21ECA13704B5}">
  <dimension ref="A1:B10"/>
  <sheetViews>
    <sheetView showGridLines="0" zoomScale="205" zoomScaleNormal="205" workbookViewId="0"/>
  </sheetViews>
  <sheetFormatPr defaultRowHeight="15" x14ac:dyDescent="0.25"/>
  <cols>
    <col min="1" max="1" width="35.42578125" bestFit="1" customWidth="1"/>
  </cols>
  <sheetData>
    <row r="1" spans="1:2" x14ac:dyDescent="0.25">
      <c r="A1" s="32" t="s">
        <v>2686</v>
      </c>
      <c r="B1" s="32" t="s">
        <v>2687</v>
      </c>
    </row>
    <row r="2" spans="1:2" x14ac:dyDescent="0.25">
      <c r="A2" s="14" t="s">
        <v>2688</v>
      </c>
      <c r="B2" s="14"/>
    </row>
    <row r="3" spans="1:2" x14ac:dyDescent="0.25">
      <c r="A3" s="14" t="s">
        <v>2693</v>
      </c>
      <c r="B3" s="14"/>
    </row>
    <row r="4" spans="1:2" x14ac:dyDescent="0.25">
      <c r="A4" s="14" t="s">
        <v>2696</v>
      </c>
      <c r="B4" s="14"/>
    </row>
    <row r="5" spans="1:2" x14ac:dyDescent="0.25">
      <c r="A5" s="14" t="s">
        <v>2692</v>
      </c>
      <c r="B5" s="14"/>
    </row>
    <row r="6" spans="1:2" x14ac:dyDescent="0.25">
      <c r="A6" s="14" t="s">
        <v>2691</v>
      </c>
      <c r="B6" s="14"/>
    </row>
    <row r="7" spans="1:2" x14ac:dyDescent="0.25">
      <c r="A7" s="14" t="s">
        <v>2689</v>
      </c>
      <c r="B7" s="14"/>
    </row>
    <row r="8" spans="1:2" x14ac:dyDescent="0.25">
      <c r="A8" s="14" t="s">
        <v>2690</v>
      </c>
      <c r="B8" s="14"/>
    </row>
    <row r="9" spans="1:2" x14ac:dyDescent="0.25">
      <c r="A9" s="14" t="s">
        <v>2694</v>
      </c>
      <c r="B9" s="14"/>
    </row>
    <row r="10" spans="1:2" x14ac:dyDescent="0.25">
      <c r="A10" s="14" t="s">
        <v>2695</v>
      </c>
      <c r="B10" s="14"/>
    </row>
  </sheetData>
  <hyperlinks>
    <hyperlink ref="A9" r:id="rId1" xr:uid="{CE5AF7FD-E907-4E65-A771-31B280909FBD}"/>
    <hyperlink ref="A10" r:id="rId2" xr:uid="{D4357E43-804E-4E81-86A0-8CE1DB616523}"/>
    <hyperlink ref="A4" r:id="rId3" xr:uid="{4D924C6F-DEF9-4D3A-BBB6-BFF6D3F35597}"/>
    <hyperlink ref="A3" r:id="rId4" xr:uid="{3C503E25-C623-4281-A8AA-B3D731F7BA91}"/>
    <hyperlink ref="A6" r:id="rId5" xr:uid="{0B19A433-9A5F-4CCE-9260-9879F0553935}"/>
    <hyperlink ref="A5" r:id="rId6" xr:uid="{732263E2-7948-40E7-888C-2BBC925C5DE3}"/>
  </hyperlink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EE86-AC6D-464F-A658-1C8FCD625577}">
  <dimension ref="A1:XDZ195"/>
  <sheetViews>
    <sheetView showGridLines="0" zoomScale="145" zoomScaleNormal="145" workbookViewId="0"/>
  </sheetViews>
  <sheetFormatPr defaultColWidth="9.140625" defaultRowHeight="12.75" x14ac:dyDescent="0.25"/>
  <cols>
    <col min="1" max="1" width="41.5703125" style="2" bestFit="1" customWidth="1"/>
    <col min="2" max="16384" width="9.140625" style="2"/>
  </cols>
  <sheetData>
    <row r="1" spans="1:16354" s="6" customFormat="1" ht="15.75" customHeight="1" x14ac:dyDescent="0.25">
      <c r="A1" s="29" t="s">
        <v>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</row>
    <row r="2" spans="1:16354" s="5" customFormat="1" x14ac:dyDescent="0.25">
      <c r="A2" s="30" t="s">
        <v>5</v>
      </c>
    </row>
    <row r="3" spans="1:16354" s="5" customFormat="1" x14ac:dyDescent="0.25">
      <c r="A3" s="30" t="s">
        <v>6</v>
      </c>
    </row>
    <row r="4" spans="1:16354" s="5" customFormat="1" x14ac:dyDescent="0.25">
      <c r="A4" s="30" t="s">
        <v>494</v>
      </c>
    </row>
    <row r="5" spans="1:16354" s="5" customFormat="1" x14ac:dyDescent="0.25">
      <c r="A5" s="30" t="s">
        <v>597</v>
      </c>
    </row>
    <row r="6" spans="1:16354" s="5" customFormat="1" x14ac:dyDescent="0.25">
      <c r="A6" s="30" t="s">
        <v>598</v>
      </c>
    </row>
    <row r="7" spans="1:16354" s="5" customFormat="1" x14ac:dyDescent="0.25">
      <c r="A7" s="30" t="s">
        <v>495</v>
      </c>
    </row>
    <row r="8" spans="1:16354" s="5" customFormat="1" x14ac:dyDescent="0.25">
      <c r="A8" s="30" t="s">
        <v>496</v>
      </c>
    </row>
    <row r="9" spans="1:16354" s="5" customFormat="1" x14ac:dyDescent="0.25">
      <c r="A9" s="30" t="s">
        <v>599</v>
      </c>
    </row>
    <row r="10" spans="1:16354" s="5" customFormat="1" x14ac:dyDescent="0.25">
      <c r="A10" s="30" t="s">
        <v>497</v>
      </c>
    </row>
    <row r="11" spans="1:16354" s="5" customFormat="1" x14ac:dyDescent="0.25">
      <c r="A11" s="30" t="s">
        <v>600</v>
      </c>
    </row>
    <row r="12" spans="1:16354" s="5" customFormat="1" x14ac:dyDescent="0.25">
      <c r="A12" s="30" t="s">
        <v>498</v>
      </c>
    </row>
    <row r="13" spans="1:16354" s="5" customFormat="1" x14ac:dyDescent="0.25">
      <c r="A13" s="30" t="s">
        <v>499</v>
      </c>
    </row>
    <row r="14" spans="1:16354" s="5" customFormat="1" x14ac:dyDescent="0.25">
      <c r="A14" s="30" t="s">
        <v>500</v>
      </c>
    </row>
    <row r="15" spans="1:16354" s="5" customFormat="1" x14ac:dyDescent="0.25">
      <c r="A15" s="30" t="s">
        <v>501</v>
      </c>
    </row>
    <row r="16" spans="1:16354" s="5" customFormat="1" x14ac:dyDescent="0.25">
      <c r="A16" s="30" t="s">
        <v>601</v>
      </c>
    </row>
    <row r="17" spans="1:1" s="5" customFormat="1" x14ac:dyDescent="0.25">
      <c r="A17" s="30" t="s">
        <v>602</v>
      </c>
    </row>
    <row r="18" spans="1:1" s="5" customFormat="1" x14ac:dyDescent="0.25">
      <c r="A18" s="30" t="s">
        <v>502</v>
      </c>
    </row>
    <row r="19" spans="1:1" s="5" customFormat="1" x14ac:dyDescent="0.25">
      <c r="A19" s="30" t="s">
        <v>603</v>
      </c>
    </row>
    <row r="20" spans="1:1" s="5" customFormat="1" x14ac:dyDescent="0.25">
      <c r="A20" s="30" t="s">
        <v>604</v>
      </c>
    </row>
    <row r="21" spans="1:1" s="5" customFormat="1" x14ac:dyDescent="0.25">
      <c r="A21" s="30" t="s">
        <v>605</v>
      </c>
    </row>
    <row r="22" spans="1:1" s="5" customFormat="1" x14ac:dyDescent="0.25">
      <c r="A22" s="30" t="s">
        <v>503</v>
      </c>
    </row>
    <row r="23" spans="1:1" s="5" customFormat="1" x14ac:dyDescent="0.25">
      <c r="A23" s="30" t="s">
        <v>606</v>
      </c>
    </row>
    <row r="24" spans="1:1" s="5" customFormat="1" x14ac:dyDescent="0.25">
      <c r="A24" s="30" t="s">
        <v>607</v>
      </c>
    </row>
    <row r="25" spans="1:1" s="5" customFormat="1" x14ac:dyDescent="0.25">
      <c r="A25" s="30" t="s">
        <v>608</v>
      </c>
    </row>
    <row r="26" spans="1:1" s="5" customFormat="1" x14ac:dyDescent="0.25">
      <c r="A26" s="30" t="s">
        <v>609</v>
      </c>
    </row>
    <row r="27" spans="1:1" s="5" customFormat="1" x14ac:dyDescent="0.25">
      <c r="A27" s="30" t="s">
        <v>504</v>
      </c>
    </row>
    <row r="28" spans="1:1" s="5" customFormat="1" x14ac:dyDescent="0.25">
      <c r="A28" s="30" t="s">
        <v>610</v>
      </c>
    </row>
    <row r="29" spans="1:1" s="5" customFormat="1" x14ac:dyDescent="0.25">
      <c r="A29" s="30" t="s">
        <v>611</v>
      </c>
    </row>
    <row r="30" spans="1:1" s="5" customFormat="1" x14ac:dyDescent="0.25">
      <c r="A30" s="30" t="s">
        <v>612</v>
      </c>
    </row>
    <row r="31" spans="1:1" s="5" customFormat="1" x14ac:dyDescent="0.25">
      <c r="A31" s="30" t="s">
        <v>613</v>
      </c>
    </row>
    <row r="32" spans="1:1" s="5" customFormat="1" x14ac:dyDescent="0.25">
      <c r="A32" s="30" t="s">
        <v>614</v>
      </c>
    </row>
    <row r="33" spans="1:1" s="5" customFormat="1" x14ac:dyDescent="0.25">
      <c r="A33" s="30" t="s">
        <v>615</v>
      </c>
    </row>
    <row r="34" spans="1:1" s="5" customFormat="1" x14ac:dyDescent="0.25">
      <c r="A34" s="30" t="s">
        <v>616</v>
      </c>
    </row>
    <row r="35" spans="1:1" s="5" customFormat="1" x14ac:dyDescent="0.25">
      <c r="A35" s="30" t="s">
        <v>617</v>
      </c>
    </row>
    <row r="36" spans="1:1" s="5" customFormat="1" x14ac:dyDescent="0.25">
      <c r="A36" s="30" t="s">
        <v>618</v>
      </c>
    </row>
    <row r="37" spans="1:1" s="5" customFormat="1" x14ac:dyDescent="0.25">
      <c r="A37" s="30" t="s">
        <v>619</v>
      </c>
    </row>
    <row r="38" spans="1:1" s="5" customFormat="1" x14ac:dyDescent="0.25">
      <c r="A38" s="30" t="s">
        <v>620</v>
      </c>
    </row>
    <row r="39" spans="1:1" s="5" customFormat="1" x14ac:dyDescent="0.25">
      <c r="A39" s="30" t="s">
        <v>621</v>
      </c>
    </row>
    <row r="40" spans="1:1" s="5" customFormat="1" x14ac:dyDescent="0.25">
      <c r="A40" s="30" t="s">
        <v>505</v>
      </c>
    </row>
    <row r="41" spans="1:1" s="5" customFormat="1" x14ac:dyDescent="0.25">
      <c r="A41" s="30" t="s">
        <v>506</v>
      </c>
    </row>
    <row r="42" spans="1:1" s="5" customFormat="1" x14ac:dyDescent="0.25">
      <c r="A42" s="30" t="s">
        <v>622</v>
      </c>
    </row>
    <row r="43" spans="1:1" s="5" customFormat="1" x14ac:dyDescent="0.25">
      <c r="A43" s="30" t="s">
        <v>507</v>
      </c>
    </row>
    <row r="44" spans="1:1" s="5" customFormat="1" x14ac:dyDescent="0.25">
      <c r="A44" s="30" t="s">
        <v>623</v>
      </c>
    </row>
    <row r="45" spans="1:1" s="5" customFormat="1" x14ac:dyDescent="0.25">
      <c r="A45" s="30" t="s">
        <v>508</v>
      </c>
    </row>
    <row r="46" spans="1:1" s="5" customFormat="1" x14ac:dyDescent="0.25">
      <c r="A46" s="30" t="s">
        <v>509</v>
      </c>
    </row>
    <row r="47" spans="1:1" s="5" customFormat="1" x14ac:dyDescent="0.25">
      <c r="A47" s="30" t="s">
        <v>624</v>
      </c>
    </row>
    <row r="48" spans="1:1" s="5" customFormat="1" x14ac:dyDescent="0.25">
      <c r="A48" s="30" t="s">
        <v>510</v>
      </c>
    </row>
    <row r="49" spans="1:1" s="5" customFormat="1" x14ac:dyDescent="0.25">
      <c r="A49" s="30" t="s">
        <v>625</v>
      </c>
    </row>
    <row r="50" spans="1:1" s="5" customFormat="1" x14ac:dyDescent="0.25">
      <c r="A50" s="30" t="s">
        <v>511</v>
      </c>
    </row>
    <row r="51" spans="1:1" s="5" customFormat="1" x14ac:dyDescent="0.25">
      <c r="A51" s="30" t="s">
        <v>512</v>
      </c>
    </row>
    <row r="52" spans="1:1" s="5" customFormat="1" x14ac:dyDescent="0.25">
      <c r="A52" s="30" t="s">
        <v>626</v>
      </c>
    </row>
    <row r="53" spans="1:1" s="5" customFormat="1" x14ac:dyDescent="0.25">
      <c r="A53" s="30" t="s">
        <v>513</v>
      </c>
    </row>
    <row r="54" spans="1:1" s="5" customFormat="1" x14ac:dyDescent="0.25">
      <c r="A54" s="30" t="s">
        <v>627</v>
      </c>
    </row>
    <row r="55" spans="1:1" s="5" customFormat="1" x14ac:dyDescent="0.25">
      <c r="A55" s="30" t="s">
        <v>628</v>
      </c>
    </row>
    <row r="56" spans="1:1" s="5" customFormat="1" x14ac:dyDescent="0.25">
      <c r="A56" s="30" t="s">
        <v>514</v>
      </c>
    </row>
    <row r="57" spans="1:1" s="5" customFormat="1" x14ac:dyDescent="0.25">
      <c r="A57" s="30" t="s">
        <v>629</v>
      </c>
    </row>
    <row r="58" spans="1:1" s="5" customFormat="1" x14ac:dyDescent="0.25">
      <c r="A58" s="30" t="s">
        <v>515</v>
      </c>
    </row>
    <row r="59" spans="1:1" s="5" customFormat="1" x14ac:dyDescent="0.25">
      <c r="A59" s="30" t="s">
        <v>516</v>
      </c>
    </row>
    <row r="60" spans="1:1" s="5" customFormat="1" x14ac:dyDescent="0.25">
      <c r="A60" s="30" t="s">
        <v>630</v>
      </c>
    </row>
    <row r="61" spans="1:1" s="5" customFormat="1" x14ac:dyDescent="0.25">
      <c r="A61" s="30" t="s">
        <v>517</v>
      </c>
    </row>
    <row r="62" spans="1:1" s="5" customFormat="1" x14ac:dyDescent="0.25">
      <c r="A62" s="30" t="s">
        <v>631</v>
      </c>
    </row>
    <row r="63" spans="1:1" s="5" customFormat="1" x14ac:dyDescent="0.25">
      <c r="A63" s="30" t="s">
        <v>518</v>
      </c>
    </row>
    <row r="64" spans="1:1" s="5" customFormat="1" x14ac:dyDescent="0.25">
      <c r="A64" s="30" t="s">
        <v>632</v>
      </c>
    </row>
    <row r="65" spans="1:1" s="5" customFormat="1" x14ac:dyDescent="0.25">
      <c r="A65" s="30" t="s">
        <v>633</v>
      </c>
    </row>
    <row r="66" spans="1:1" s="5" customFormat="1" x14ac:dyDescent="0.25">
      <c r="A66" s="30" t="s">
        <v>634</v>
      </c>
    </row>
    <row r="67" spans="1:1" s="5" customFormat="1" x14ac:dyDescent="0.25">
      <c r="A67" s="30" t="s">
        <v>519</v>
      </c>
    </row>
    <row r="68" spans="1:1" s="5" customFormat="1" x14ac:dyDescent="0.25">
      <c r="A68" s="30" t="s">
        <v>520</v>
      </c>
    </row>
    <row r="69" spans="1:1" s="5" customFormat="1" x14ac:dyDescent="0.25">
      <c r="A69" s="30" t="s">
        <v>521</v>
      </c>
    </row>
    <row r="70" spans="1:1" s="5" customFormat="1" x14ac:dyDescent="0.25">
      <c r="A70" s="30" t="s">
        <v>522</v>
      </c>
    </row>
    <row r="71" spans="1:1" s="5" customFormat="1" x14ac:dyDescent="0.25">
      <c r="A71" s="30" t="s">
        <v>523</v>
      </c>
    </row>
    <row r="72" spans="1:1" s="5" customFormat="1" x14ac:dyDescent="0.25">
      <c r="A72" s="30" t="s">
        <v>635</v>
      </c>
    </row>
    <row r="73" spans="1:1" s="5" customFormat="1" x14ac:dyDescent="0.25">
      <c r="A73" s="30" t="s">
        <v>636</v>
      </c>
    </row>
    <row r="74" spans="1:1" s="5" customFormat="1" x14ac:dyDescent="0.25">
      <c r="A74" s="30" t="s">
        <v>637</v>
      </c>
    </row>
    <row r="75" spans="1:1" s="5" customFormat="1" x14ac:dyDescent="0.25">
      <c r="A75" s="30" t="s">
        <v>638</v>
      </c>
    </row>
    <row r="76" spans="1:1" s="5" customFormat="1" x14ac:dyDescent="0.25">
      <c r="A76" s="30" t="s">
        <v>639</v>
      </c>
    </row>
    <row r="77" spans="1:1" s="5" customFormat="1" x14ac:dyDescent="0.25">
      <c r="A77" s="30" t="s">
        <v>524</v>
      </c>
    </row>
    <row r="78" spans="1:1" s="5" customFormat="1" x14ac:dyDescent="0.25">
      <c r="A78" s="30" t="s">
        <v>640</v>
      </c>
    </row>
    <row r="79" spans="1:1" s="5" customFormat="1" x14ac:dyDescent="0.25">
      <c r="A79" s="30" t="s">
        <v>641</v>
      </c>
    </row>
    <row r="80" spans="1:1" s="5" customFormat="1" x14ac:dyDescent="0.25">
      <c r="A80" s="30" t="s">
        <v>525</v>
      </c>
    </row>
    <row r="81" spans="1:1" s="5" customFormat="1" x14ac:dyDescent="0.25">
      <c r="A81" s="30" t="s">
        <v>642</v>
      </c>
    </row>
    <row r="82" spans="1:1" s="5" customFormat="1" x14ac:dyDescent="0.25">
      <c r="A82" s="30" t="s">
        <v>526</v>
      </c>
    </row>
    <row r="83" spans="1:1" s="5" customFormat="1" x14ac:dyDescent="0.25">
      <c r="A83" s="30" t="s">
        <v>527</v>
      </c>
    </row>
    <row r="84" spans="1:1" s="5" customFormat="1" x14ac:dyDescent="0.25">
      <c r="A84" s="30" t="s">
        <v>643</v>
      </c>
    </row>
    <row r="85" spans="1:1" s="5" customFormat="1" x14ac:dyDescent="0.25">
      <c r="A85" s="30" t="s">
        <v>528</v>
      </c>
    </row>
    <row r="86" spans="1:1" s="5" customFormat="1" x14ac:dyDescent="0.25">
      <c r="A86" s="30" t="s">
        <v>529</v>
      </c>
    </row>
    <row r="87" spans="1:1" s="5" customFormat="1" x14ac:dyDescent="0.25">
      <c r="A87" s="30" t="s">
        <v>644</v>
      </c>
    </row>
    <row r="88" spans="1:1" s="5" customFormat="1" x14ac:dyDescent="0.25">
      <c r="A88" s="30" t="s">
        <v>530</v>
      </c>
    </row>
    <row r="89" spans="1:1" s="5" customFormat="1" x14ac:dyDescent="0.25">
      <c r="A89" s="30" t="s">
        <v>531</v>
      </c>
    </row>
    <row r="90" spans="1:1" s="5" customFormat="1" x14ac:dyDescent="0.25">
      <c r="A90" s="30" t="s">
        <v>532</v>
      </c>
    </row>
    <row r="91" spans="1:1" s="5" customFormat="1" x14ac:dyDescent="0.25">
      <c r="A91" s="30" t="s">
        <v>645</v>
      </c>
    </row>
    <row r="92" spans="1:1" s="5" customFormat="1" x14ac:dyDescent="0.25">
      <c r="A92" s="30" t="s">
        <v>533</v>
      </c>
    </row>
    <row r="93" spans="1:1" s="5" customFormat="1" x14ac:dyDescent="0.25">
      <c r="A93" s="30" t="s">
        <v>534</v>
      </c>
    </row>
    <row r="94" spans="1:1" s="5" customFormat="1" x14ac:dyDescent="0.25">
      <c r="A94" s="30" t="s">
        <v>646</v>
      </c>
    </row>
    <row r="95" spans="1:1" s="5" customFormat="1" x14ac:dyDescent="0.25">
      <c r="A95" s="30" t="s">
        <v>535</v>
      </c>
    </row>
    <row r="96" spans="1:1" s="5" customFormat="1" x14ac:dyDescent="0.25">
      <c r="A96" s="30" t="s">
        <v>536</v>
      </c>
    </row>
    <row r="97" spans="1:1" s="5" customFormat="1" x14ac:dyDescent="0.25">
      <c r="A97" s="30" t="s">
        <v>537</v>
      </c>
    </row>
    <row r="98" spans="1:1" s="5" customFormat="1" x14ac:dyDescent="0.25">
      <c r="A98" s="30" t="s">
        <v>538</v>
      </c>
    </row>
    <row r="99" spans="1:1" s="5" customFormat="1" x14ac:dyDescent="0.25">
      <c r="A99" s="30" t="s">
        <v>647</v>
      </c>
    </row>
    <row r="100" spans="1:1" s="5" customFormat="1" x14ac:dyDescent="0.25">
      <c r="A100" s="30" t="s">
        <v>648</v>
      </c>
    </row>
    <row r="101" spans="1:1" s="5" customFormat="1" x14ac:dyDescent="0.25">
      <c r="A101" s="30" t="s">
        <v>649</v>
      </c>
    </row>
    <row r="102" spans="1:1" s="5" customFormat="1" x14ac:dyDescent="0.25">
      <c r="A102" s="30" t="s">
        <v>539</v>
      </c>
    </row>
    <row r="103" spans="1:1" s="5" customFormat="1" x14ac:dyDescent="0.25">
      <c r="A103" s="30" t="s">
        <v>540</v>
      </c>
    </row>
    <row r="104" spans="1:1" s="5" customFormat="1" x14ac:dyDescent="0.25">
      <c r="A104" s="30" t="s">
        <v>541</v>
      </c>
    </row>
    <row r="105" spans="1:1" s="5" customFormat="1" x14ac:dyDescent="0.25">
      <c r="A105" s="30" t="s">
        <v>650</v>
      </c>
    </row>
    <row r="106" spans="1:1" s="5" customFormat="1" x14ac:dyDescent="0.25">
      <c r="A106" s="30" t="s">
        <v>542</v>
      </c>
    </row>
    <row r="107" spans="1:1" s="5" customFormat="1" x14ac:dyDescent="0.25">
      <c r="A107" s="30" t="s">
        <v>543</v>
      </c>
    </row>
    <row r="108" spans="1:1" s="5" customFormat="1" x14ac:dyDescent="0.25">
      <c r="A108" s="30" t="s">
        <v>651</v>
      </c>
    </row>
    <row r="109" spans="1:1" s="5" customFormat="1" x14ac:dyDescent="0.25">
      <c r="A109" s="30" t="s">
        <v>544</v>
      </c>
    </row>
    <row r="110" spans="1:1" s="5" customFormat="1" x14ac:dyDescent="0.25">
      <c r="A110" s="30" t="s">
        <v>545</v>
      </c>
    </row>
    <row r="111" spans="1:1" s="5" customFormat="1" x14ac:dyDescent="0.25">
      <c r="A111" s="30" t="s">
        <v>546</v>
      </c>
    </row>
    <row r="112" spans="1:1" s="5" customFormat="1" x14ac:dyDescent="0.25">
      <c r="A112" s="30" t="s">
        <v>547</v>
      </c>
    </row>
    <row r="113" spans="1:1" s="5" customFormat="1" x14ac:dyDescent="0.25">
      <c r="A113" s="30" t="s">
        <v>652</v>
      </c>
    </row>
    <row r="114" spans="1:1" s="5" customFormat="1" x14ac:dyDescent="0.25">
      <c r="A114" s="30" t="s">
        <v>548</v>
      </c>
    </row>
    <row r="115" spans="1:1" s="5" customFormat="1" x14ac:dyDescent="0.25">
      <c r="A115" s="30" t="s">
        <v>549</v>
      </c>
    </row>
    <row r="116" spans="1:1" s="5" customFormat="1" x14ac:dyDescent="0.25">
      <c r="A116" s="30" t="s">
        <v>550</v>
      </c>
    </row>
    <row r="117" spans="1:1" s="5" customFormat="1" x14ac:dyDescent="0.25">
      <c r="A117" s="30" t="s">
        <v>551</v>
      </c>
    </row>
    <row r="118" spans="1:1" s="5" customFormat="1" x14ac:dyDescent="0.25">
      <c r="A118" s="30" t="s">
        <v>552</v>
      </c>
    </row>
    <row r="119" spans="1:1" s="5" customFormat="1" x14ac:dyDescent="0.25">
      <c r="A119" s="30" t="s">
        <v>553</v>
      </c>
    </row>
    <row r="120" spans="1:1" s="5" customFormat="1" x14ac:dyDescent="0.25">
      <c r="A120" s="30" t="s">
        <v>653</v>
      </c>
    </row>
    <row r="121" spans="1:1" s="5" customFormat="1" x14ac:dyDescent="0.25">
      <c r="A121" s="30" t="s">
        <v>654</v>
      </c>
    </row>
    <row r="122" spans="1:1" s="5" customFormat="1" x14ac:dyDescent="0.25">
      <c r="A122" s="30" t="s">
        <v>554</v>
      </c>
    </row>
    <row r="123" spans="1:1" s="5" customFormat="1" x14ac:dyDescent="0.25">
      <c r="A123" s="30" t="s">
        <v>555</v>
      </c>
    </row>
    <row r="124" spans="1:1" s="5" customFormat="1" x14ac:dyDescent="0.25">
      <c r="A124" s="30" t="s">
        <v>556</v>
      </c>
    </row>
    <row r="125" spans="1:1" s="5" customFormat="1" x14ac:dyDescent="0.25">
      <c r="A125" s="30" t="s">
        <v>655</v>
      </c>
    </row>
    <row r="126" spans="1:1" s="5" customFormat="1" x14ac:dyDescent="0.25">
      <c r="A126" s="30" t="s">
        <v>656</v>
      </c>
    </row>
    <row r="127" spans="1:1" s="5" customFormat="1" x14ac:dyDescent="0.25">
      <c r="A127" s="30" t="s">
        <v>557</v>
      </c>
    </row>
    <row r="128" spans="1:1" s="5" customFormat="1" x14ac:dyDescent="0.25">
      <c r="A128" s="30" t="s">
        <v>558</v>
      </c>
    </row>
    <row r="129" spans="1:1" s="5" customFormat="1" x14ac:dyDescent="0.25">
      <c r="A129" s="30" t="s">
        <v>559</v>
      </c>
    </row>
    <row r="130" spans="1:1" s="5" customFormat="1" x14ac:dyDescent="0.25">
      <c r="A130" s="30" t="s">
        <v>560</v>
      </c>
    </row>
    <row r="131" spans="1:1" s="5" customFormat="1" x14ac:dyDescent="0.25">
      <c r="A131" s="30" t="s">
        <v>561</v>
      </c>
    </row>
    <row r="132" spans="1:1" s="5" customFormat="1" x14ac:dyDescent="0.25">
      <c r="A132" s="30" t="s">
        <v>657</v>
      </c>
    </row>
    <row r="133" spans="1:1" s="5" customFormat="1" x14ac:dyDescent="0.25">
      <c r="A133" s="30" t="s">
        <v>562</v>
      </c>
    </row>
    <row r="134" spans="1:1" s="5" customFormat="1" x14ac:dyDescent="0.25">
      <c r="A134" s="30" t="s">
        <v>658</v>
      </c>
    </row>
    <row r="135" spans="1:1" s="5" customFormat="1" x14ac:dyDescent="0.25">
      <c r="A135" s="30" t="s">
        <v>563</v>
      </c>
    </row>
    <row r="136" spans="1:1" s="5" customFormat="1" x14ac:dyDescent="0.25">
      <c r="A136" s="30" t="s">
        <v>564</v>
      </c>
    </row>
    <row r="137" spans="1:1" s="5" customFormat="1" x14ac:dyDescent="0.25">
      <c r="A137" s="30" t="s">
        <v>659</v>
      </c>
    </row>
    <row r="138" spans="1:1" s="5" customFormat="1" x14ac:dyDescent="0.25">
      <c r="A138" s="30" t="s">
        <v>565</v>
      </c>
    </row>
    <row r="139" spans="1:1" s="5" customFormat="1" x14ac:dyDescent="0.25">
      <c r="A139" s="30" t="s">
        <v>566</v>
      </c>
    </row>
    <row r="140" spans="1:1" s="5" customFormat="1" x14ac:dyDescent="0.25">
      <c r="A140" s="30" t="s">
        <v>660</v>
      </c>
    </row>
    <row r="141" spans="1:1" s="5" customFormat="1" x14ac:dyDescent="0.25">
      <c r="A141" s="30" t="s">
        <v>567</v>
      </c>
    </row>
    <row r="142" spans="1:1" s="5" customFormat="1" x14ac:dyDescent="0.25">
      <c r="A142" s="30" t="s">
        <v>661</v>
      </c>
    </row>
    <row r="143" spans="1:1" s="5" customFormat="1" x14ac:dyDescent="0.25">
      <c r="A143" s="30" t="s">
        <v>662</v>
      </c>
    </row>
    <row r="144" spans="1:1" s="5" customFormat="1" x14ac:dyDescent="0.25">
      <c r="A144" s="30" t="s">
        <v>663</v>
      </c>
    </row>
    <row r="145" spans="1:1" s="5" customFormat="1" x14ac:dyDescent="0.25">
      <c r="A145" s="30" t="s">
        <v>568</v>
      </c>
    </row>
    <row r="146" spans="1:1" s="5" customFormat="1" x14ac:dyDescent="0.25">
      <c r="A146" s="30" t="s">
        <v>569</v>
      </c>
    </row>
    <row r="147" spans="1:1" s="5" customFormat="1" x14ac:dyDescent="0.25">
      <c r="A147" s="30" t="s">
        <v>664</v>
      </c>
    </row>
    <row r="148" spans="1:1" s="5" customFormat="1" x14ac:dyDescent="0.25">
      <c r="A148" s="30" t="s">
        <v>570</v>
      </c>
    </row>
    <row r="149" spans="1:1" s="5" customFormat="1" x14ac:dyDescent="0.25">
      <c r="A149" s="30" t="s">
        <v>665</v>
      </c>
    </row>
    <row r="150" spans="1:1" s="5" customFormat="1" x14ac:dyDescent="0.25">
      <c r="A150" s="30" t="s">
        <v>571</v>
      </c>
    </row>
    <row r="151" spans="1:1" s="5" customFormat="1" x14ac:dyDescent="0.25">
      <c r="A151" s="30" t="s">
        <v>572</v>
      </c>
    </row>
    <row r="152" spans="1:1" s="5" customFormat="1" x14ac:dyDescent="0.25">
      <c r="A152" s="30" t="s">
        <v>666</v>
      </c>
    </row>
    <row r="153" spans="1:1" s="5" customFormat="1" x14ac:dyDescent="0.25">
      <c r="A153" s="30" t="s">
        <v>667</v>
      </c>
    </row>
    <row r="154" spans="1:1" s="5" customFormat="1" x14ac:dyDescent="0.25">
      <c r="A154" s="30" t="s">
        <v>573</v>
      </c>
    </row>
    <row r="155" spans="1:1" x14ac:dyDescent="0.25">
      <c r="A155" s="30" t="s">
        <v>574</v>
      </c>
    </row>
    <row r="156" spans="1:1" x14ac:dyDescent="0.25">
      <c r="A156" s="30" t="s">
        <v>668</v>
      </c>
    </row>
    <row r="157" spans="1:1" x14ac:dyDescent="0.25">
      <c r="A157" s="30" t="s">
        <v>669</v>
      </c>
    </row>
    <row r="158" spans="1:1" x14ac:dyDescent="0.25">
      <c r="A158" s="30" t="s">
        <v>670</v>
      </c>
    </row>
    <row r="159" spans="1:1" x14ac:dyDescent="0.25">
      <c r="A159" s="30" t="s">
        <v>671</v>
      </c>
    </row>
    <row r="160" spans="1:1" x14ac:dyDescent="0.25">
      <c r="A160" s="30" t="s">
        <v>672</v>
      </c>
    </row>
    <row r="161" spans="1:1" x14ac:dyDescent="0.25">
      <c r="A161" s="30" t="s">
        <v>673</v>
      </c>
    </row>
    <row r="162" spans="1:1" x14ac:dyDescent="0.25">
      <c r="A162" s="30" t="s">
        <v>674</v>
      </c>
    </row>
    <row r="163" spans="1:1" x14ac:dyDescent="0.25">
      <c r="A163" s="30" t="s">
        <v>675</v>
      </c>
    </row>
    <row r="164" spans="1:1" x14ac:dyDescent="0.25">
      <c r="A164" s="30" t="s">
        <v>676</v>
      </c>
    </row>
    <row r="165" spans="1:1" x14ac:dyDescent="0.25">
      <c r="A165" s="30" t="s">
        <v>677</v>
      </c>
    </row>
    <row r="166" spans="1:1" x14ac:dyDescent="0.25">
      <c r="A166" s="30" t="s">
        <v>678</v>
      </c>
    </row>
    <row r="167" spans="1:1" x14ac:dyDescent="0.25">
      <c r="A167" s="30" t="s">
        <v>575</v>
      </c>
    </row>
    <row r="168" spans="1:1" x14ac:dyDescent="0.25">
      <c r="A168" s="30" t="s">
        <v>576</v>
      </c>
    </row>
    <row r="169" spans="1:1" x14ac:dyDescent="0.25">
      <c r="A169" s="30" t="s">
        <v>577</v>
      </c>
    </row>
    <row r="170" spans="1:1" x14ac:dyDescent="0.25">
      <c r="A170" s="30" t="s">
        <v>578</v>
      </c>
    </row>
    <row r="171" spans="1:1" x14ac:dyDescent="0.25">
      <c r="A171" s="30" t="s">
        <v>579</v>
      </c>
    </row>
    <row r="172" spans="1:1" x14ac:dyDescent="0.25">
      <c r="A172" s="30" t="s">
        <v>679</v>
      </c>
    </row>
    <row r="173" spans="1:1" x14ac:dyDescent="0.25">
      <c r="A173" s="30" t="s">
        <v>680</v>
      </c>
    </row>
    <row r="174" spans="1:1" x14ac:dyDescent="0.25">
      <c r="A174" s="30" t="s">
        <v>681</v>
      </c>
    </row>
    <row r="175" spans="1:1" x14ac:dyDescent="0.25">
      <c r="A175" s="30" t="s">
        <v>682</v>
      </c>
    </row>
    <row r="176" spans="1:1" x14ac:dyDescent="0.25">
      <c r="A176" s="30" t="s">
        <v>580</v>
      </c>
    </row>
    <row r="177" spans="1:1" x14ac:dyDescent="0.25">
      <c r="A177" s="30" t="s">
        <v>683</v>
      </c>
    </row>
    <row r="178" spans="1:1" x14ac:dyDescent="0.25">
      <c r="A178" s="30" t="s">
        <v>684</v>
      </c>
    </row>
    <row r="179" spans="1:1" x14ac:dyDescent="0.25">
      <c r="A179" s="30" t="s">
        <v>581</v>
      </c>
    </row>
    <row r="180" spans="1:1" x14ac:dyDescent="0.25">
      <c r="A180" s="30" t="s">
        <v>582</v>
      </c>
    </row>
    <row r="181" spans="1:1" x14ac:dyDescent="0.25">
      <c r="A181" s="30" t="s">
        <v>583</v>
      </c>
    </row>
    <row r="182" spans="1:1" x14ac:dyDescent="0.25">
      <c r="A182" s="30" t="s">
        <v>584</v>
      </c>
    </row>
    <row r="183" spans="1:1" x14ac:dyDescent="0.25">
      <c r="A183" s="30" t="s">
        <v>685</v>
      </c>
    </row>
    <row r="184" spans="1:1" x14ac:dyDescent="0.25">
      <c r="A184" s="30" t="s">
        <v>585</v>
      </c>
    </row>
    <row r="185" spans="1:1" x14ac:dyDescent="0.25">
      <c r="A185" s="30" t="s">
        <v>586</v>
      </c>
    </row>
    <row r="186" spans="1:1" x14ac:dyDescent="0.25">
      <c r="A186" s="30" t="s">
        <v>587</v>
      </c>
    </row>
    <row r="187" spans="1:1" x14ac:dyDescent="0.25">
      <c r="A187" s="30" t="s">
        <v>588</v>
      </c>
    </row>
    <row r="188" spans="1:1" x14ac:dyDescent="0.25">
      <c r="A188" s="30" t="s">
        <v>589</v>
      </c>
    </row>
    <row r="189" spans="1:1" x14ac:dyDescent="0.25">
      <c r="A189" s="30" t="s">
        <v>590</v>
      </c>
    </row>
    <row r="190" spans="1:1" x14ac:dyDescent="0.25">
      <c r="A190" s="30" t="s">
        <v>591</v>
      </c>
    </row>
    <row r="191" spans="1:1" x14ac:dyDescent="0.25">
      <c r="A191" s="30" t="s">
        <v>592</v>
      </c>
    </row>
    <row r="192" spans="1:1" x14ac:dyDescent="0.25">
      <c r="A192" s="30" t="s">
        <v>593</v>
      </c>
    </row>
    <row r="193" spans="1:1" x14ac:dyDescent="0.25">
      <c r="A193" s="30" t="s">
        <v>594</v>
      </c>
    </row>
    <row r="194" spans="1:1" x14ac:dyDescent="0.25">
      <c r="A194" s="30" t="s">
        <v>595</v>
      </c>
    </row>
    <row r="195" spans="1:1" x14ac:dyDescent="0.25">
      <c r="A195" s="30" t="s">
        <v>596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2F79-B621-48F1-AE68-D53CF5B9F061}">
  <dimension ref="A1:XDZ2000"/>
  <sheetViews>
    <sheetView showGridLines="0" zoomScale="130" zoomScaleNormal="130" workbookViewId="0"/>
  </sheetViews>
  <sheetFormatPr defaultColWidth="9.140625" defaultRowHeight="12.75" x14ac:dyDescent="0.25"/>
  <cols>
    <col min="1" max="1" width="41.5703125" style="2" bestFit="1" customWidth="1"/>
    <col min="2" max="16384" width="9.140625" style="2"/>
  </cols>
  <sheetData>
    <row r="1" spans="1:16354" s="6" customFormat="1" ht="15.75" customHeight="1" x14ac:dyDescent="0.25">
      <c r="A1" s="31" t="s">
        <v>686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</row>
    <row r="2" spans="1:16354" s="5" customFormat="1" ht="15" x14ac:dyDescent="0.25">
      <c r="A2" s="31" t="s">
        <v>687</v>
      </c>
    </row>
    <row r="3" spans="1:16354" s="5" customFormat="1" ht="15" x14ac:dyDescent="0.25">
      <c r="A3" s="31" t="s">
        <v>688</v>
      </c>
    </row>
    <row r="4" spans="1:16354" s="5" customFormat="1" ht="15" x14ac:dyDescent="0.25">
      <c r="A4" s="31" t="s">
        <v>689</v>
      </c>
    </row>
    <row r="5" spans="1:16354" s="5" customFormat="1" ht="15" x14ac:dyDescent="0.25">
      <c r="A5" s="31" t="s">
        <v>690</v>
      </c>
    </row>
    <row r="6" spans="1:16354" s="5" customFormat="1" ht="15" x14ac:dyDescent="0.25">
      <c r="A6" s="31" t="s">
        <v>691</v>
      </c>
    </row>
    <row r="7" spans="1:16354" s="5" customFormat="1" ht="15" x14ac:dyDescent="0.25">
      <c r="A7" s="31" t="s">
        <v>692</v>
      </c>
    </row>
    <row r="8" spans="1:16354" s="5" customFormat="1" ht="15" x14ac:dyDescent="0.25">
      <c r="A8" s="31" t="s">
        <v>693</v>
      </c>
    </row>
    <row r="9" spans="1:16354" s="5" customFormat="1" ht="15" x14ac:dyDescent="0.25">
      <c r="A9" s="31" t="s">
        <v>694</v>
      </c>
    </row>
    <row r="10" spans="1:16354" s="5" customFormat="1" ht="15" x14ac:dyDescent="0.25">
      <c r="A10" s="31" t="s">
        <v>695</v>
      </c>
    </row>
    <row r="11" spans="1:16354" s="5" customFormat="1" ht="15" x14ac:dyDescent="0.25">
      <c r="A11" s="31" t="s">
        <v>696</v>
      </c>
    </row>
    <row r="12" spans="1:16354" s="5" customFormat="1" ht="15" x14ac:dyDescent="0.25">
      <c r="A12" s="31" t="s">
        <v>697</v>
      </c>
    </row>
    <row r="13" spans="1:16354" s="5" customFormat="1" ht="15" x14ac:dyDescent="0.25">
      <c r="A13" s="31" t="s">
        <v>698</v>
      </c>
    </row>
    <row r="14" spans="1:16354" s="5" customFormat="1" ht="15" x14ac:dyDescent="0.25">
      <c r="A14" s="31" t="s">
        <v>699</v>
      </c>
    </row>
    <row r="15" spans="1:16354" s="5" customFormat="1" ht="15" x14ac:dyDescent="0.25">
      <c r="A15" s="31" t="s">
        <v>700</v>
      </c>
    </row>
    <row r="16" spans="1:16354" s="5" customFormat="1" ht="15" x14ac:dyDescent="0.25">
      <c r="A16" s="31" t="s">
        <v>701</v>
      </c>
    </row>
    <row r="17" spans="1:1" s="5" customFormat="1" ht="15" x14ac:dyDescent="0.25">
      <c r="A17" s="31" t="s">
        <v>702</v>
      </c>
    </row>
    <row r="18" spans="1:1" s="5" customFormat="1" ht="15" x14ac:dyDescent="0.25">
      <c r="A18" s="31" t="s">
        <v>703</v>
      </c>
    </row>
    <row r="19" spans="1:1" s="5" customFormat="1" ht="15" x14ac:dyDescent="0.25">
      <c r="A19" s="31" t="s">
        <v>704</v>
      </c>
    </row>
    <row r="20" spans="1:1" s="5" customFormat="1" ht="15" x14ac:dyDescent="0.25">
      <c r="A20" s="31" t="s">
        <v>705</v>
      </c>
    </row>
    <row r="21" spans="1:1" s="5" customFormat="1" ht="15" x14ac:dyDescent="0.25">
      <c r="A21" s="31" t="s">
        <v>706</v>
      </c>
    </row>
    <row r="22" spans="1:1" s="5" customFormat="1" ht="15" x14ac:dyDescent="0.25">
      <c r="A22" s="31" t="s">
        <v>707</v>
      </c>
    </row>
    <row r="23" spans="1:1" s="5" customFormat="1" ht="15" x14ac:dyDescent="0.25">
      <c r="A23" s="31" t="s">
        <v>708</v>
      </c>
    </row>
    <row r="24" spans="1:1" s="5" customFormat="1" ht="15" x14ac:dyDescent="0.25">
      <c r="A24" s="31" t="s">
        <v>709</v>
      </c>
    </row>
    <row r="25" spans="1:1" s="5" customFormat="1" ht="15" x14ac:dyDescent="0.25">
      <c r="A25" s="31" t="s">
        <v>710</v>
      </c>
    </row>
    <row r="26" spans="1:1" s="5" customFormat="1" ht="15" x14ac:dyDescent="0.25">
      <c r="A26" s="31" t="s">
        <v>711</v>
      </c>
    </row>
    <row r="27" spans="1:1" s="5" customFormat="1" ht="15" x14ac:dyDescent="0.25">
      <c r="A27" s="31" t="s">
        <v>712</v>
      </c>
    </row>
    <row r="28" spans="1:1" s="5" customFormat="1" ht="15" x14ac:dyDescent="0.25">
      <c r="A28" s="31" t="s">
        <v>713</v>
      </c>
    </row>
    <row r="29" spans="1:1" s="5" customFormat="1" ht="15" x14ac:dyDescent="0.25">
      <c r="A29" s="31" t="s">
        <v>714</v>
      </c>
    </row>
    <row r="30" spans="1:1" s="5" customFormat="1" ht="15" x14ac:dyDescent="0.25">
      <c r="A30" s="31" t="s">
        <v>715</v>
      </c>
    </row>
    <row r="31" spans="1:1" s="5" customFormat="1" ht="15" x14ac:dyDescent="0.25">
      <c r="A31" s="31" t="s">
        <v>716</v>
      </c>
    </row>
    <row r="32" spans="1:1" s="5" customFormat="1" ht="15" x14ac:dyDescent="0.25">
      <c r="A32" s="31" t="s">
        <v>717</v>
      </c>
    </row>
    <row r="33" spans="1:1" s="5" customFormat="1" ht="15" x14ac:dyDescent="0.25">
      <c r="A33" s="31" t="s">
        <v>718</v>
      </c>
    </row>
    <row r="34" spans="1:1" s="5" customFormat="1" ht="15" x14ac:dyDescent="0.25">
      <c r="A34" s="31" t="s">
        <v>719</v>
      </c>
    </row>
    <row r="35" spans="1:1" s="5" customFormat="1" ht="15" x14ac:dyDescent="0.25">
      <c r="A35" s="31" t="s">
        <v>720</v>
      </c>
    </row>
    <row r="36" spans="1:1" s="5" customFormat="1" ht="15" x14ac:dyDescent="0.25">
      <c r="A36" s="31" t="s">
        <v>721</v>
      </c>
    </row>
    <row r="37" spans="1:1" s="5" customFormat="1" ht="15" x14ac:dyDescent="0.25">
      <c r="A37" s="31" t="s">
        <v>722</v>
      </c>
    </row>
    <row r="38" spans="1:1" s="5" customFormat="1" ht="15" x14ac:dyDescent="0.25">
      <c r="A38" s="31" t="s">
        <v>723</v>
      </c>
    </row>
    <row r="39" spans="1:1" s="5" customFormat="1" ht="15" x14ac:dyDescent="0.25">
      <c r="A39" s="31" t="s">
        <v>724</v>
      </c>
    </row>
    <row r="40" spans="1:1" s="5" customFormat="1" ht="15" x14ac:dyDescent="0.25">
      <c r="A40" s="31" t="s">
        <v>725</v>
      </c>
    </row>
    <row r="41" spans="1:1" s="5" customFormat="1" ht="15" x14ac:dyDescent="0.25">
      <c r="A41" s="31" t="s">
        <v>726</v>
      </c>
    </row>
    <row r="42" spans="1:1" s="5" customFormat="1" ht="15" x14ac:dyDescent="0.25">
      <c r="A42" s="31" t="s">
        <v>727</v>
      </c>
    </row>
    <row r="43" spans="1:1" s="5" customFormat="1" ht="15" x14ac:dyDescent="0.25">
      <c r="A43" s="31" t="s">
        <v>728</v>
      </c>
    </row>
    <row r="44" spans="1:1" s="5" customFormat="1" ht="15" x14ac:dyDescent="0.25">
      <c r="A44" s="31" t="s">
        <v>729</v>
      </c>
    </row>
    <row r="45" spans="1:1" s="5" customFormat="1" ht="15" x14ac:dyDescent="0.25">
      <c r="A45" s="31" t="s">
        <v>730</v>
      </c>
    </row>
    <row r="46" spans="1:1" s="5" customFormat="1" ht="15" x14ac:dyDescent="0.25">
      <c r="A46" s="31" t="s">
        <v>731</v>
      </c>
    </row>
    <row r="47" spans="1:1" s="5" customFormat="1" ht="15" x14ac:dyDescent="0.25">
      <c r="A47" s="31" t="s">
        <v>732</v>
      </c>
    </row>
    <row r="48" spans="1:1" s="5" customFormat="1" ht="15" x14ac:dyDescent="0.25">
      <c r="A48" s="31" t="s">
        <v>733</v>
      </c>
    </row>
    <row r="49" spans="1:1" s="5" customFormat="1" ht="15" x14ac:dyDescent="0.25">
      <c r="A49" s="31" t="s">
        <v>734</v>
      </c>
    </row>
    <row r="50" spans="1:1" s="5" customFormat="1" ht="15" x14ac:dyDescent="0.25">
      <c r="A50" s="31" t="s">
        <v>735</v>
      </c>
    </row>
    <row r="51" spans="1:1" s="5" customFormat="1" ht="15" x14ac:dyDescent="0.25">
      <c r="A51" s="31" t="s">
        <v>736</v>
      </c>
    </row>
    <row r="52" spans="1:1" s="5" customFormat="1" ht="15" x14ac:dyDescent="0.25">
      <c r="A52" s="31" t="s">
        <v>737</v>
      </c>
    </row>
    <row r="53" spans="1:1" s="5" customFormat="1" ht="15" x14ac:dyDescent="0.25">
      <c r="A53" s="31" t="s">
        <v>738</v>
      </c>
    </row>
    <row r="54" spans="1:1" s="5" customFormat="1" ht="15" x14ac:dyDescent="0.25">
      <c r="A54" s="31" t="s">
        <v>739</v>
      </c>
    </row>
    <row r="55" spans="1:1" s="5" customFormat="1" ht="15" x14ac:dyDescent="0.25">
      <c r="A55" s="31" t="s">
        <v>740</v>
      </c>
    </row>
    <row r="56" spans="1:1" s="5" customFormat="1" ht="15" x14ac:dyDescent="0.25">
      <c r="A56" s="31" t="s">
        <v>741</v>
      </c>
    </row>
    <row r="57" spans="1:1" s="5" customFormat="1" ht="15" x14ac:dyDescent="0.25">
      <c r="A57" s="31" t="s">
        <v>742</v>
      </c>
    </row>
    <row r="58" spans="1:1" s="5" customFormat="1" ht="15" x14ac:dyDescent="0.25">
      <c r="A58" s="31" t="s">
        <v>743</v>
      </c>
    </row>
    <row r="59" spans="1:1" s="5" customFormat="1" ht="15" x14ac:dyDescent="0.25">
      <c r="A59" s="31" t="s">
        <v>744</v>
      </c>
    </row>
    <row r="60" spans="1:1" s="5" customFormat="1" ht="15" x14ac:dyDescent="0.25">
      <c r="A60" s="31" t="s">
        <v>745</v>
      </c>
    </row>
    <row r="61" spans="1:1" s="5" customFormat="1" ht="15" x14ac:dyDescent="0.25">
      <c r="A61" s="31" t="s">
        <v>746</v>
      </c>
    </row>
    <row r="62" spans="1:1" s="5" customFormat="1" ht="15" x14ac:dyDescent="0.25">
      <c r="A62" s="31" t="s">
        <v>747</v>
      </c>
    </row>
    <row r="63" spans="1:1" s="5" customFormat="1" ht="15" x14ac:dyDescent="0.25">
      <c r="A63" s="31" t="s">
        <v>748</v>
      </c>
    </row>
    <row r="64" spans="1:1" s="5" customFormat="1" ht="15" x14ac:dyDescent="0.25">
      <c r="A64" s="31" t="s">
        <v>749</v>
      </c>
    </row>
    <row r="65" spans="1:1" s="5" customFormat="1" ht="15" x14ac:dyDescent="0.25">
      <c r="A65" s="31" t="s">
        <v>750</v>
      </c>
    </row>
    <row r="66" spans="1:1" s="5" customFormat="1" ht="15" x14ac:dyDescent="0.25">
      <c r="A66" s="31" t="s">
        <v>751</v>
      </c>
    </row>
    <row r="67" spans="1:1" s="5" customFormat="1" ht="15" x14ac:dyDescent="0.25">
      <c r="A67" s="31" t="s">
        <v>752</v>
      </c>
    </row>
    <row r="68" spans="1:1" s="5" customFormat="1" ht="15" x14ac:dyDescent="0.25">
      <c r="A68" s="31" t="s">
        <v>753</v>
      </c>
    </row>
    <row r="69" spans="1:1" s="5" customFormat="1" ht="15" x14ac:dyDescent="0.25">
      <c r="A69" s="31" t="s">
        <v>754</v>
      </c>
    </row>
    <row r="70" spans="1:1" s="5" customFormat="1" ht="15" x14ac:dyDescent="0.25">
      <c r="A70" s="31" t="s">
        <v>755</v>
      </c>
    </row>
    <row r="71" spans="1:1" s="5" customFormat="1" ht="15" x14ac:dyDescent="0.25">
      <c r="A71" s="31" t="s">
        <v>756</v>
      </c>
    </row>
    <row r="72" spans="1:1" s="5" customFormat="1" ht="15" x14ac:dyDescent="0.25">
      <c r="A72" s="31" t="s">
        <v>757</v>
      </c>
    </row>
    <row r="73" spans="1:1" s="5" customFormat="1" ht="15" x14ac:dyDescent="0.25">
      <c r="A73" s="31" t="s">
        <v>758</v>
      </c>
    </row>
    <row r="74" spans="1:1" s="5" customFormat="1" ht="15" x14ac:dyDescent="0.25">
      <c r="A74" s="31" t="s">
        <v>759</v>
      </c>
    </row>
    <row r="75" spans="1:1" s="5" customFormat="1" ht="15" x14ac:dyDescent="0.25">
      <c r="A75" s="31" t="s">
        <v>760</v>
      </c>
    </row>
    <row r="76" spans="1:1" s="5" customFormat="1" ht="15" x14ac:dyDescent="0.25">
      <c r="A76" s="31" t="s">
        <v>761</v>
      </c>
    </row>
    <row r="77" spans="1:1" s="5" customFormat="1" ht="15" x14ac:dyDescent="0.25">
      <c r="A77" s="31" t="s">
        <v>762</v>
      </c>
    </row>
    <row r="78" spans="1:1" s="5" customFormat="1" ht="15" x14ac:dyDescent="0.25">
      <c r="A78" s="31" t="s">
        <v>763</v>
      </c>
    </row>
    <row r="79" spans="1:1" s="5" customFormat="1" ht="15" x14ac:dyDescent="0.25">
      <c r="A79" s="31" t="s">
        <v>764</v>
      </c>
    </row>
    <row r="80" spans="1:1" s="5" customFormat="1" ht="15" x14ac:dyDescent="0.25">
      <c r="A80" s="31" t="s">
        <v>765</v>
      </c>
    </row>
    <row r="81" spans="1:1" s="5" customFormat="1" ht="15" x14ac:dyDescent="0.25">
      <c r="A81" s="31" t="s">
        <v>766</v>
      </c>
    </row>
    <row r="82" spans="1:1" s="5" customFormat="1" ht="15" x14ac:dyDescent="0.25">
      <c r="A82" s="31" t="s">
        <v>767</v>
      </c>
    </row>
    <row r="83" spans="1:1" s="5" customFormat="1" ht="15" x14ac:dyDescent="0.25">
      <c r="A83" s="31" t="s">
        <v>768</v>
      </c>
    </row>
    <row r="84" spans="1:1" s="5" customFormat="1" ht="15" x14ac:dyDescent="0.25">
      <c r="A84" s="31" t="s">
        <v>769</v>
      </c>
    </row>
    <row r="85" spans="1:1" s="5" customFormat="1" ht="15" x14ac:dyDescent="0.25">
      <c r="A85" s="31" t="s">
        <v>770</v>
      </c>
    </row>
    <row r="86" spans="1:1" s="5" customFormat="1" ht="15" x14ac:dyDescent="0.25">
      <c r="A86" s="31" t="s">
        <v>771</v>
      </c>
    </row>
    <row r="87" spans="1:1" s="5" customFormat="1" ht="15" x14ac:dyDescent="0.25">
      <c r="A87" s="31" t="s">
        <v>772</v>
      </c>
    </row>
    <row r="88" spans="1:1" s="5" customFormat="1" ht="15" x14ac:dyDescent="0.25">
      <c r="A88" s="31" t="s">
        <v>773</v>
      </c>
    </row>
    <row r="89" spans="1:1" s="5" customFormat="1" ht="15" x14ac:dyDescent="0.25">
      <c r="A89" s="31" t="s">
        <v>774</v>
      </c>
    </row>
    <row r="90" spans="1:1" s="5" customFormat="1" ht="15" x14ac:dyDescent="0.25">
      <c r="A90" s="31" t="s">
        <v>775</v>
      </c>
    </row>
    <row r="91" spans="1:1" s="5" customFormat="1" ht="15" x14ac:dyDescent="0.25">
      <c r="A91" s="31" t="s">
        <v>776</v>
      </c>
    </row>
    <row r="92" spans="1:1" s="5" customFormat="1" ht="15" x14ac:dyDescent="0.25">
      <c r="A92" s="31" t="s">
        <v>777</v>
      </c>
    </row>
    <row r="93" spans="1:1" s="5" customFormat="1" ht="15" x14ac:dyDescent="0.25">
      <c r="A93" s="31" t="s">
        <v>778</v>
      </c>
    </row>
    <row r="94" spans="1:1" s="5" customFormat="1" ht="15" x14ac:dyDescent="0.25">
      <c r="A94" s="31" t="s">
        <v>779</v>
      </c>
    </row>
    <row r="95" spans="1:1" s="5" customFormat="1" ht="15" x14ac:dyDescent="0.25">
      <c r="A95" s="31" t="s">
        <v>780</v>
      </c>
    </row>
    <row r="96" spans="1:1" s="5" customFormat="1" ht="15" x14ac:dyDescent="0.25">
      <c r="A96" s="31" t="s">
        <v>781</v>
      </c>
    </row>
    <row r="97" spans="1:1" s="5" customFormat="1" ht="15" x14ac:dyDescent="0.25">
      <c r="A97" s="31" t="s">
        <v>782</v>
      </c>
    </row>
    <row r="98" spans="1:1" s="5" customFormat="1" ht="15" x14ac:dyDescent="0.25">
      <c r="A98" s="31" t="s">
        <v>783</v>
      </c>
    </row>
    <row r="99" spans="1:1" s="5" customFormat="1" ht="15" x14ac:dyDescent="0.25">
      <c r="A99" s="31" t="s">
        <v>784</v>
      </c>
    </row>
    <row r="100" spans="1:1" s="5" customFormat="1" ht="15" x14ac:dyDescent="0.25">
      <c r="A100" s="31" t="s">
        <v>785</v>
      </c>
    </row>
    <row r="101" spans="1:1" s="5" customFormat="1" ht="15" x14ac:dyDescent="0.25">
      <c r="A101" s="31" t="s">
        <v>786</v>
      </c>
    </row>
    <row r="102" spans="1:1" s="5" customFormat="1" ht="15" x14ac:dyDescent="0.25">
      <c r="A102" s="31" t="s">
        <v>787</v>
      </c>
    </row>
    <row r="103" spans="1:1" s="5" customFormat="1" ht="15" x14ac:dyDescent="0.25">
      <c r="A103" s="31" t="s">
        <v>788</v>
      </c>
    </row>
    <row r="104" spans="1:1" s="5" customFormat="1" ht="15" x14ac:dyDescent="0.25">
      <c r="A104" s="31" t="s">
        <v>789</v>
      </c>
    </row>
    <row r="105" spans="1:1" s="5" customFormat="1" ht="15" x14ac:dyDescent="0.25">
      <c r="A105" s="31" t="s">
        <v>790</v>
      </c>
    </row>
    <row r="106" spans="1:1" s="5" customFormat="1" ht="15" x14ac:dyDescent="0.25">
      <c r="A106" s="31" t="s">
        <v>791</v>
      </c>
    </row>
    <row r="107" spans="1:1" s="5" customFormat="1" ht="15" x14ac:dyDescent="0.25">
      <c r="A107" s="31" t="s">
        <v>792</v>
      </c>
    </row>
    <row r="108" spans="1:1" s="5" customFormat="1" ht="15" x14ac:dyDescent="0.25">
      <c r="A108" s="31" t="s">
        <v>793</v>
      </c>
    </row>
    <row r="109" spans="1:1" s="5" customFormat="1" ht="15" x14ac:dyDescent="0.25">
      <c r="A109" s="31" t="s">
        <v>794</v>
      </c>
    </row>
    <row r="110" spans="1:1" s="5" customFormat="1" ht="15" x14ac:dyDescent="0.25">
      <c r="A110" s="31" t="s">
        <v>795</v>
      </c>
    </row>
    <row r="111" spans="1:1" s="5" customFormat="1" ht="15" x14ac:dyDescent="0.25">
      <c r="A111" s="31" t="s">
        <v>796</v>
      </c>
    </row>
    <row r="112" spans="1:1" s="5" customFormat="1" ht="15" x14ac:dyDescent="0.25">
      <c r="A112" s="31" t="s">
        <v>797</v>
      </c>
    </row>
    <row r="113" spans="1:1" s="5" customFormat="1" ht="15" x14ac:dyDescent="0.25">
      <c r="A113" s="31" t="s">
        <v>798</v>
      </c>
    </row>
    <row r="114" spans="1:1" s="5" customFormat="1" ht="15" x14ac:dyDescent="0.25">
      <c r="A114" s="31" t="s">
        <v>799</v>
      </c>
    </row>
    <row r="115" spans="1:1" s="5" customFormat="1" ht="15" x14ac:dyDescent="0.25">
      <c r="A115" s="31" t="s">
        <v>800</v>
      </c>
    </row>
    <row r="116" spans="1:1" s="5" customFormat="1" ht="15" x14ac:dyDescent="0.25">
      <c r="A116" s="31" t="s">
        <v>801</v>
      </c>
    </row>
    <row r="117" spans="1:1" s="5" customFormat="1" ht="15" x14ac:dyDescent="0.25">
      <c r="A117" s="31" t="s">
        <v>802</v>
      </c>
    </row>
    <row r="118" spans="1:1" s="5" customFormat="1" ht="15" x14ac:dyDescent="0.25">
      <c r="A118" s="31" t="s">
        <v>803</v>
      </c>
    </row>
    <row r="119" spans="1:1" s="5" customFormat="1" ht="15" x14ac:dyDescent="0.25">
      <c r="A119" s="31" t="s">
        <v>804</v>
      </c>
    </row>
    <row r="120" spans="1:1" s="5" customFormat="1" ht="15" x14ac:dyDescent="0.25">
      <c r="A120" s="31" t="s">
        <v>805</v>
      </c>
    </row>
    <row r="121" spans="1:1" s="5" customFormat="1" ht="15" x14ac:dyDescent="0.25">
      <c r="A121" s="31" t="s">
        <v>806</v>
      </c>
    </row>
    <row r="122" spans="1:1" s="5" customFormat="1" ht="15" x14ac:dyDescent="0.25">
      <c r="A122" s="31" t="s">
        <v>807</v>
      </c>
    </row>
    <row r="123" spans="1:1" s="5" customFormat="1" ht="15" x14ac:dyDescent="0.25">
      <c r="A123" s="31" t="s">
        <v>808</v>
      </c>
    </row>
    <row r="124" spans="1:1" s="5" customFormat="1" ht="15" x14ac:dyDescent="0.25">
      <c r="A124" s="31" t="s">
        <v>809</v>
      </c>
    </row>
    <row r="125" spans="1:1" s="5" customFormat="1" ht="15" x14ac:dyDescent="0.25">
      <c r="A125" s="31" t="s">
        <v>810</v>
      </c>
    </row>
    <row r="126" spans="1:1" s="5" customFormat="1" ht="15" x14ac:dyDescent="0.25">
      <c r="A126" s="31" t="s">
        <v>811</v>
      </c>
    </row>
    <row r="127" spans="1:1" s="5" customFormat="1" ht="15" x14ac:dyDescent="0.25">
      <c r="A127" s="31" t="s">
        <v>812</v>
      </c>
    </row>
    <row r="128" spans="1:1" s="5" customFormat="1" ht="15" x14ac:dyDescent="0.25">
      <c r="A128" s="31" t="s">
        <v>813</v>
      </c>
    </row>
    <row r="129" spans="1:1" s="5" customFormat="1" ht="15" x14ac:dyDescent="0.25">
      <c r="A129" s="31" t="s">
        <v>814</v>
      </c>
    </row>
    <row r="130" spans="1:1" s="5" customFormat="1" ht="15" x14ac:dyDescent="0.25">
      <c r="A130" s="31" t="s">
        <v>815</v>
      </c>
    </row>
    <row r="131" spans="1:1" s="5" customFormat="1" ht="15" x14ac:dyDescent="0.25">
      <c r="A131" s="31" t="s">
        <v>816</v>
      </c>
    </row>
    <row r="132" spans="1:1" s="5" customFormat="1" ht="15" x14ac:dyDescent="0.25">
      <c r="A132" s="31" t="s">
        <v>817</v>
      </c>
    </row>
    <row r="133" spans="1:1" s="5" customFormat="1" ht="15" x14ac:dyDescent="0.25">
      <c r="A133" s="31" t="s">
        <v>818</v>
      </c>
    </row>
    <row r="134" spans="1:1" s="5" customFormat="1" ht="15" x14ac:dyDescent="0.25">
      <c r="A134" s="31" t="s">
        <v>819</v>
      </c>
    </row>
    <row r="135" spans="1:1" s="5" customFormat="1" ht="15" x14ac:dyDescent="0.25">
      <c r="A135" s="31" t="s">
        <v>820</v>
      </c>
    </row>
    <row r="136" spans="1:1" s="5" customFormat="1" ht="15" x14ac:dyDescent="0.25">
      <c r="A136" s="31" t="s">
        <v>821</v>
      </c>
    </row>
    <row r="137" spans="1:1" s="5" customFormat="1" ht="15" x14ac:dyDescent="0.25">
      <c r="A137" s="31" t="s">
        <v>822</v>
      </c>
    </row>
    <row r="138" spans="1:1" s="5" customFormat="1" ht="15" x14ac:dyDescent="0.25">
      <c r="A138" s="31" t="s">
        <v>823</v>
      </c>
    </row>
    <row r="139" spans="1:1" s="5" customFormat="1" ht="15" x14ac:dyDescent="0.25">
      <c r="A139" s="31" t="s">
        <v>824</v>
      </c>
    </row>
    <row r="140" spans="1:1" s="5" customFormat="1" ht="15" x14ac:dyDescent="0.25">
      <c r="A140" s="31" t="s">
        <v>825</v>
      </c>
    </row>
    <row r="141" spans="1:1" s="5" customFormat="1" ht="15" x14ac:dyDescent="0.25">
      <c r="A141" s="31" t="s">
        <v>826</v>
      </c>
    </row>
    <row r="142" spans="1:1" s="5" customFormat="1" ht="15" x14ac:dyDescent="0.25">
      <c r="A142" s="31" t="s">
        <v>827</v>
      </c>
    </row>
    <row r="143" spans="1:1" s="5" customFormat="1" ht="15" x14ac:dyDescent="0.25">
      <c r="A143" s="31" t="s">
        <v>828</v>
      </c>
    </row>
    <row r="144" spans="1:1" s="5" customFormat="1" ht="15" x14ac:dyDescent="0.25">
      <c r="A144" s="31" t="s">
        <v>829</v>
      </c>
    </row>
    <row r="145" spans="1:1" s="5" customFormat="1" ht="15" x14ac:dyDescent="0.25">
      <c r="A145" s="31" t="s">
        <v>830</v>
      </c>
    </row>
    <row r="146" spans="1:1" s="5" customFormat="1" ht="15" x14ac:dyDescent="0.25">
      <c r="A146" s="31" t="s">
        <v>831</v>
      </c>
    </row>
    <row r="147" spans="1:1" s="5" customFormat="1" ht="15" x14ac:dyDescent="0.25">
      <c r="A147" s="31" t="s">
        <v>832</v>
      </c>
    </row>
    <row r="148" spans="1:1" s="5" customFormat="1" ht="15" x14ac:dyDescent="0.25">
      <c r="A148" s="31" t="s">
        <v>833</v>
      </c>
    </row>
    <row r="149" spans="1:1" s="5" customFormat="1" ht="15" x14ac:dyDescent="0.25">
      <c r="A149" s="31" t="s">
        <v>834</v>
      </c>
    </row>
    <row r="150" spans="1:1" s="5" customFormat="1" ht="15" x14ac:dyDescent="0.25">
      <c r="A150" s="31" t="s">
        <v>835</v>
      </c>
    </row>
    <row r="151" spans="1:1" s="5" customFormat="1" ht="15" x14ac:dyDescent="0.25">
      <c r="A151" s="31" t="s">
        <v>836</v>
      </c>
    </row>
    <row r="152" spans="1:1" s="5" customFormat="1" ht="15" x14ac:dyDescent="0.25">
      <c r="A152" s="31" t="s">
        <v>837</v>
      </c>
    </row>
    <row r="153" spans="1:1" s="5" customFormat="1" ht="15" x14ac:dyDescent="0.25">
      <c r="A153" s="31" t="s">
        <v>838</v>
      </c>
    </row>
    <row r="154" spans="1:1" s="5" customFormat="1" ht="15" x14ac:dyDescent="0.25">
      <c r="A154" s="31" t="s">
        <v>839</v>
      </c>
    </row>
    <row r="155" spans="1:1" ht="15" x14ac:dyDescent="0.25">
      <c r="A155" s="31" t="s">
        <v>840</v>
      </c>
    </row>
    <row r="156" spans="1:1" ht="15" x14ac:dyDescent="0.25">
      <c r="A156" s="31" t="s">
        <v>841</v>
      </c>
    </row>
    <row r="157" spans="1:1" ht="15" x14ac:dyDescent="0.25">
      <c r="A157" s="31" t="s">
        <v>842</v>
      </c>
    </row>
    <row r="158" spans="1:1" ht="15" x14ac:dyDescent="0.25">
      <c r="A158" s="31" t="s">
        <v>843</v>
      </c>
    </row>
    <row r="159" spans="1:1" ht="15" x14ac:dyDescent="0.25">
      <c r="A159" s="31" t="s">
        <v>844</v>
      </c>
    </row>
    <row r="160" spans="1:1" ht="15" x14ac:dyDescent="0.25">
      <c r="A160" s="31" t="s">
        <v>845</v>
      </c>
    </row>
    <row r="161" spans="1:1" ht="15" x14ac:dyDescent="0.25">
      <c r="A161" s="31" t="s">
        <v>846</v>
      </c>
    </row>
    <row r="162" spans="1:1" ht="15" x14ac:dyDescent="0.25">
      <c r="A162" s="31" t="s">
        <v>847</v>
      </c>
    </row>
    <row r="163" spans="1:1" ht="15" x14ac:dyDescent="0.25">
      <c r="A163" s="31" t="s">
        <v>848</v>
      </c>
    </row>
    <row r="164" spans="1:1" ht="15" x14ac:dyDescent="0.25">
      <c r="A164" s="31" t="s">
        <v>849</v>
      </c>
    </row>
    <row r="165" spans="1:1" ht="15" x14ac:dyDescent="0.25">
      <c r="A165" s="31" t="s">
        <v>850</v>
      </c>
    </row>
    <row r="166" spans="1:1" ht="15" x14ac:dyDescent="0.25">
      <c r="A166" s="31" t="s">
        <v>851</v>
      </c>
    </row>
    <row r="167" spans="1:1" ht="15" x14ac:dyDescent="0.25">
      <c r="A167" s="31" t="s">
        <v>852</v>
      </c>
    </row>
    <row r="168" spans="1:1" ht="15" x14ac:dyDescent="0.25">
      <c r="A168" s="31" t="s">
        <v>853</v>
      </c>
    </row>
    <row r="169" spans="1:1" ht="15" x14ac:dyDescent="0.25">
      <c r="A169" s="31" t="s">
        <v>854</v>
      </c>
    </row>
    <row r="170" spans="1:1" ht="15" x14ac:dyDescent="0.25">
      <c r="A170" s="31" t="s">
        <v>855</v>
      </c>
    </row>
    <row r="171" spans="1:1" ht="15" x14ac:dyDescent="0.25">
      <c r="A171" s="31" t="s">
        <v>856</v>
      </c>
    </row>
    <row r="172" spans="1:1" ht="15" x14ac:dyDescent="0.25">
      <c r="A172" s="31" t="s">
        <v>857</v>
      </c>
    </row>
    <row r="173" spans="1:1" ht="15" x14ac:dyDescent="0.25">
      <c r="A173" s="31" t="s">
        <v>858</v>
      </c>
    </row>
    <row r="174" spans="1:1" ht="15" x14ac:dyDescent="0.25">
      <c r="A174" s="31" t="s">
        <v>859</v>
      </c>
    </row>
    <row r="175" spans="1:1" ht="15" x14ac:dyDescent="0.25">
      <c r="A175" s="31" t="s">
        <v>860</v>
      </c>
    </row>
    <row r="176" spans="1:1" ht="15" x14ac:dyDescent="0.25">
      <c r="A176" s="31" t="s">
        <v>861</v>
      </c>
    </row>
    <row r="177" spans="1:1" ht="15" x14ac:dyDescent="0.25">
      <c r="A177" s="31" t="s">
        <v>862</v>
      </c>
    </row>
    <row r="178" spans="1:1" ht="15" x14ac:dyDescent="0.25">
      <c r="A178" s="31" t="s">
        <v>863</v>
      </c>
    </row>
    <row r="179" spans="1:1" ht="15" x14ac:dyDescent="0.25">
      <c r="A179" s="31" t="s">
        <v>864</v>
      </c>
    </row>
    <row r="180" spans="1:1" ht="15" x14ac:dyDescent="0.25">
      <c r="A180" s="31" t="s">
        <v>865</v>
      </c>
    </row>
    <row r="181" spans="1:1" ht="15" x14ac:dyDescent="0.25">
      <c r="A181" s="31" t="s">
        <v>866</v>
      </c>
    </row>
    <row r="182" spans="1:1" ht="15" x14ac:dyDescent="0.25">
      <c r="A182" s="31" t="s">
        <v>867</v>
      </c>
    </row>
    <row r="183" spans="1:1" ht="15" x14ac:dyDescent="0.25">
      <c r="A183" s="31" t="s">
        <v>868</v>
      </c>
    </row>
    <row r="184" spans="1:1" ht="15" x14ac:dyDescent="0.25">
      <c r="A184" s="31" t="s">
        <v>869</v>
      </c>
    </row>
    <row r="185" spans="1:1" ht="15" x14ac:dyDescent="0.25">
      <c r="A185" s="31" t="s">
        <v>870</v>
      </c>
    </row>
    <row r="186" spans="1:1" ht="15" x14ac:dyDescent="0.25">
      <c r="A186" s="31" t="s">
        <v>871</v>
      </c>
    </row>
    <row r="187" spans="1:1" ht="15" x14ac:dyDescent="0.25">
      <c r="A187" s="31" t="s">
        <v>872</v>
      </c>
    </row>
    <row r="188" spans="1:1" ht="15" x14ac:dyDescent="0.25">
      <c r="A188" s="31" t="s">
        <v>873</v>
      </c>
    </row>
    <row r="189" spans="1:1" ht="15" x14ac:dyDescent="0.25">
      <c r="A189" s="31" t="s">
        <v>874</v>
      </c>
    </row>
    <row r="190" spans="1:1" ht="15" x14ac:dyDescent="0.25">
      <c r="A190" s="31" t="s">
        <v>875</v>
      </c>
    </row>
    <row r="191" spans="1:1" ht="15" x14ac:dyDescent="0.25">
      <c r="A191" s="31" t="s">
        <v>876</v>
      </c>
    </row>
    <row r="192" spans="1:1" ht="15" x14ac:dyDescent="0.25">
      <c r="A192" s="31" t="s">
        <v>877</v>
      </c>
    </row>
    <row r="193" spans="1:1" ht="15" x14ac:dyDescent="0.25">
      <c r="A193" s="31" t="s">
        <v>878</v>
      </c>
    </row>
    <row r="194" spans="1:1" ht="15" x14ac:dyDescent="0.25">
      <c r="A194" s="31" t="s">
        <v>879</v>
      </c>
    </row>
    <row r="195" spans="1:1" ht="15" x14ac:dyDescent="0.25">
      <c r="A195" s="31" t="s">
        <v>880</v>
      </c>
    </row>
    <row r="196" spans="1:1" ht="15" x14ac:dyDescent="0.25">
      <c r="A196" s="31" t="s">
        <v>881</v>
      </c>
    </row>
    <row r="197" spans="1:1" ht="15" x14ac:dyDescent="0.25">
      <c r="A197" s="31" t="s">
        <v>882</v>
      </c>
    </row>
    <row r="198" spans="1:1" ht="15" x14ac:dyDescent="0.25">
      <c r="A198" s="31" t="s">
        <v>883</v>
      </c>
    </row>
    <row r="199" spans="1:1" ht="15" x14ac:dyDescent="0.25">
      <c r="A199" s="31" t="s">
        <v>884</v>
      </c>
    </row>
    <row r="200" spans="1:1" ht="15" x14ac:dyDescent="0.25">
      <c r="A200" s="31" t="s">
        <v>885</v>
      </c>
    </row>
    <row r="201" spans="1:1" ht="15" x14ac:dyDescent="0.25">
      <c r="A201" s="31" t="s">
        <v>886</v>
      </c>
    </row>
    <row r="202" spans="1:1" ht="15" x14ac:dyDescent="0.25">
      <c r="A202" s="31" t="s">
        <v>887</v>
      </c>
    </row>
    <row r="203" spans="1:1" ht="15" x14ac:dyDescent="0.25">
      <c r="A203" s="31" t="s">
        <v>888</v>
      </c>
    </row>
    <row r="204" spans="1:1" ht="15" x14ac:dyDescent="0.25">
      <c r="A204" s="31" t="s">
        <v>889</v>
      </c>
    </row>
    <row r="205" spans="1:1" ht="15" x14ac:dyDescent="0.25">
      <c r="A205" s="31" t="s">
        <v>890</v>
      </c>
    </row>
    <row r="206" spans="1:1" ht="15" x14ac:dyDescent="0.25">
      <c r="A206" s="31" t="s">
        <v>891</v>
      </c>
    </row>
    <row r="207" spans="1:1" ht="15" x14ac:dyDescent="0.25">
      <c r="A207" s="31" t="s">
        <v>892</v>
      </c>
    </row>
    <row r="208" spans="1:1" ht="15" x14ac:dyDescent="0.25">
      <c r="A208" s="31" t="s">
        <v>893</v>
      </c>
    </row>
    <row r="209" spans="1:1" ht="15" x14ac:dyDescent="0.25">
      <c r="A209" s="31" t="s">
        <v>894</v>
      </c>
    </row>
    <row r="210" spans="1:1" ht="15" x14ac:dyDescent="0.25">
      <c r="A210" s="31" t="s">
        <v>895</v>
      </c>
    </row>
    <row r="211" spans="1:1" ht="15" x14ac:dyDescent="0.25">
      <c r="A211" s="31" t="s">
        <v>896</v>
      </c>
    </row>
    <row r="212" spans="1:1" ht="15" x14ac:dyDescent="0.25">
      <c r="A212" s="31" t="s">
        <v>897</v>
      </c>
    </row>
    <row r="213" spans="1:1" ht="15" x14ac:dyDescent="0.25">
      <c r="A213" s="31" t="s">
        <v>898</v>
      </c>
    </row>
    <row r="214" spans="1:1" ht="15" x14ac:dyDescent="0.25">
      <c r="A214" s="31" t="s">
        <v>899</v>
      </c>
    </row>
    <row r="215" spans="1:1" ht="15" x14ac:dyDescent="0.25">
      <c r="A215" s="31" t="s">
        <v>900</v>
      </c>
    </row>
    <row r="216" spans="1:1" ht="15" x14ac:dyDescent="0.25">
      <c r="A216" s="31" t="s">
        <v>901</v>
      </c>
    </row>
    <row r="217" spans="1:1" ht="15" x14ac:dyDescent="0.25">
      <c r="A217" s="31" t="s">
        <v>902</v>
      </c>
    </row>
    <row r="218" spans="1:1" ht="15" x14ac:dyDescent="0.25">
      <c r="A218" s="31" t="s">
        <v>903</v>
      </c>
    </row>
    <row r="219" spans="1:1" ht="15" x14ac:dyDescent="0.25">
      <c r="A219" s="31" t="s">
        <v>904</v>
      </c>
    </row>
    <row r="220" spans="1:1" ht="15" x14ac:dyDescent="0.25">
      <c r="A220" s="31" t="s">
        <v>905</v>
      </c>
    </row>
    <row r="221" spans="1:1" ht="15" x14ac:dyDescent="0.25">
      <c r="A221" s="31" t="s">
        <v>906</v>
      </c>
    </row>
    <row r="222" spans="1:1" ht="15" x14ac:dyDescent="0.25">
      <c r="A222" s="31" t="s">
        <v>907</v>
      </c>
    </row>
    <row r="223" spans="1:1" ht="15" x14ac:dyDescent="0.25">
      <c r="A223" s="31" t="s">
        <v>908</v>
      </c>
    </row>
    <row r="224" spans="1:1" ht="15" x14ac:dyDescent="0.25">
      <c r="A224" s="31" t="s">
        <v>909</v>
      </c>
    </row>
    <row r="225" spans="1:1" ht="15" x14ac:dyDescent="0.25">
      <c r="A225" s="31" t="s">
        <v>910</v>
      </c>
    </row>
    <row r="226" spans="1:1" ht="15" x14ac:dyDescent="0.25">
      <c r="A226" s="31" t="s">
        <v>911</v>
      </c>
    </row>
    <row r="227" spans="1:1" ht="15" x14ac:dyDescent="0.25">
      <c r="A227" s="31" t="s">
        <v>912</v>
      </c>
    </row>
    <row r="228" spans="1:1" ht="15" x14ac:dyDescent="0.25">
      <c r="A228" s="31" t="s">
        <v>913</v>
      </c>
    </row>
    <row r="229" spans="1:1" ht="15" x14ac:dyDescent="0.25">
      <c r="A229" s="31" t="s">
        <v>914</v>
      </c>
    </row>
    <row r="230" spans="1:1" ht="15" x14ac:dyDescent="0.25">
      <c r="A230" s="31" t="s">
        <v>915</v>
      </c>
    </row>
    <row r="231" spans="1:1" ht="15" x14ac:dyDescent="0.25">
      <c r="A231" s="31" t="s">
        <v>916</v>
      </c>
    </row>
    <row r="232" spans="1:1" ht="15" x14ac:dyDescent="0.25">
      <c r="A232" s="31" t="s">
        <v>917</v>
      </c>
    </row>
    <row r="233" spans="1:1" ht="15" x14ac:dyDescent="0.25">
      <c r="A233" s="31" t="s">
        <v>918</v>
      </c>
    </row>
    <row r="234" spans="1:1" ht="15" x14ac:dyDescent="0.25">
      <c r="A234" s="31" t="s">
        <v>919</v>
      </c>
    </row>
    <row r="235" spans="1:1" ht="15" x14ac:dyDescent="0.25">
      <c r="A235" s="31" t="s">
        <v>920</v>
      </c>
    </row>
    <row r="236" spans="1:1" ht="15" x14ac:dyDescent="0.25">
      <c r="A236" s="31" t="s">
        <v>921</v>
      </c>
    </row>
    <row r="237" spans="1:1" ht="15" x14ac:dyDescent="0.25">
      <c r="A237" s="31" t="s">
        <v>922</v>
      </c>
    </row>
    <row r="238" spans="1:1" ht="15" x14ac:dyDescent="0.25">
      <c r="A238" s="31" t="s">
        <v>923</v>
      </c>
    </row>
    <row r="239" spans="1:1" ht="15" x14ac:dyDescent="0.25">
      <c r="A239" s="31" t="s">
        <v>924</v>
      </c>
    </row>
    <row r="240" spans="1:1" ht="15" x14ac:dyDescent="0.25">
      <c r="A240" s="31" t="s">
        <v>925</v>
      </c>
    </row>
    <row r="241" spans="1:1" ht="15" x14ac:dyDescent="0.25">
      <c r="A241" s="31" t="s">
        <v>926</v>
      </c>
    </row>
    <row r="242" spans="1:1" ht="15" x14ac:dyDescent="0.25">
      <c r="A242" s="31" t="s">
        <v>927</v>
      </c>
    </row>
    <row r="243" spans="1:1" ht="15" x14ac:dyDescent="0.25">
      <c r="A243" s="31" t="s">
        <v>928</v>
      </c>
    </row>
    <row r="244" spans="1:1" ht="15" x14ac:dyDescent="0.25">
      <c r="A244" s="31" t="s">
        <v>929</v>
      </c>
    </row>
    <row r="245" spans="1:1" ht="15" x14ac:dyDescent="0.25">
      <c r="A245" s="31" t="s">
        <v>930</v>
      </c>
    </row>
    <row r="246" spans="1:1" ht="15" x14ac:dyDescent="0.25">
      <c r="A246" s="31" t="s">
        <v>931</v>
      </c>
    </row>
    <row r="247" spans="1:1" ht="15" x14ac:dyDescent="0.25">
      <c r="A247" s="31" t="s">
        <v>932</v>
      </c>
    </row>
    <row r="248" spans="1:1" ht="15" x14ac:dyDescent="0.25">
      <c r="A248" s="31" t="s">
        <v>933</v>
      </c>
    </row>
    <row r="249" spans="1:1" ht="15" x14ac:dyDescent="0.25">
      <c r="A249" s="31" t="s">
        <v>934</v>
      </c>
    </row>
    <row r="250" spans="1:1" ht="15" x14ac:dyDescent="0.25">
      <c r="A250" s="31" t="s">
        <v>935</v>
      </c>
    </row>
    <row r="251" spans="1:1" ht="15" x14ac:dyDescent="0.25">
      <c r="A251" s="31" t="s">
        <v>936</v>
      </c>
    </row>
    <row r="252" spans="1:1" ht="15" x14ac:dyDescent="0.25">
      <c r="A252" s="31" t="s">
        <v>937</v>
      </c>
    </row>
    <row r="253" spans="1:1" ht="15" x14ac:dyDescent="0.25">
      <c r="A253" s="31" t="s">
        <v>938</v>
      </c>
    </row>
    <row r="254" spans="1:1" ht="15" x14ac:dyDescent="0.25">
      <c r="A254" s="31" t="s">
        <v>939</v>
      </c>
    </row>
    <row r="255" spans="1:1" ht="15" x14ac:dyDescent="0.25">
      <c r="A255" s="31" t="s">
        <v>940</v>
      </c>
    </row>
    <row r="256" spans="1:1" ht="15" x14ac:dyDescent="0.25">
      <c r="A256" s="31" t="s">
        <v>941</v>
      </c>
    </row>
    <row r="257" spans="1:1" ht="15" x14ac:dyDescent="0.25">
      <c r="A257" s="31" t="s">
        <v>942</v>
      </c>
    </row>
    <row r="258" spans="1:1" ht="15" x14ac:dyDescent="0.25">
      <c r="A258" s="31" t="s">
        <v>943</v>
      </c>
    </row>
    <row r="259" spans="1:1" ht="15" x14ac:dyDescent="0.25">
      <c r="A259" s="31" t="s">
        <v>944</v>
      </c>
    </row>
    <row r="260" spans="1:1" ht="15" x14ac:dyDescent="0.25">
      <c r="A260" s="31" t="s">
        <v>945</v>
      </c>
    </row>
    <row r="261" spans="1:1" ht="15" x14ac:dyDescent="0.25">
      <c r="A261" s="31" t="s">
        <v>946</v>
      </c>
    </row>
    <row r="262" spans="1:1" ht="15" x14ac:dyDescent="0.25">
      <c r="A262" s="31" t="s">
        <v>947</v>
      </c>
    </row>
    <row r="263" spans="1:1" ht="15" x14ac:dyDescent="0.25">
      <c r="A263" s="31" t="s">
        <v>948</v>
      </c>
    </row>
    <row r="264" spans="1:1" ht="15" x14ac:dyDescent="0.25">
      <c r="A264" s="31" t="s">
        <v>949</v>
      </c>
    </row>
    <row r="265" spans="1:1" ht="15" x14ac:dyDescent="0.25">
      <c r="A265" s="31" t="s">
        <v>950</v>
      </c>
    </row>
    <row r="266" spans="1:1" ht="15" x14ac:dyDescent="0.25">
      <c r="A266" s="31" t="s">
        <v>951</v>
      </c>
    </row>
    <row r="267" spans="1:1" ht="15" x14ac:dyDescent="0.25">
      <c r="A267" s="31" t="s">
        <v>952</v>
      </c>
    </row>
    <row r="268" spans="1:1" ht="15" x14ac:dyDescent="0.25">
      <c r="A268" s="31" t="s">
        <v>953</v>
      </c>
    </row>
    <row r="269" spans="1:1" ht="15" x14ac:dyDescent="0.25">
      <c r="A269" s="31" t="s">
        <v>954</v>
      </c>
    </row>
    <row r="270" spans="1:1" ht="15" x14ac:dyDescent="0.25">
      <c r="A270" s="31" t="s">
        <v>955</v>
      </c>
    </row>
    <row r="271" spans="1:1" ht="15" x14ac:dyDescent="0.25">
      <c r="A271" s="31" t="s">
        <v>956</v>
      </c>
    </row>
    <row r="272" spans="1:1" ht="15" x14ac:dyDescent="0.25">
      <c r="A272" s="31" t="s">
        <v>957</v>
      </c>
    </row>
    <row r="273" spans="1:1" ht="15" x14ac:dyDescent="0.25">
      <c r="A273" s="31" t="s">
        <v>958</v>
      </c>
    </row>
    <row r="274" spans="1:1" ht="15" x14ac:dyDescent="0.25">
      <c r="A274" s="31" t="s">
        <v>959</v>
      </c>
    </row>
    <row r="275" spans="1:1" ht="15" x14ac:dyDescent="0.25">
      <c r="A275" s="31" t="s">
        <v>960</v>
      </c>
    </row>
    <row r="276" spans="1:1" ht="15" x14ac:dyDescent="0.25">
      <c r="A276" s="31" t="s">
        <v>961</v>
      </c>
    </row>
    <row r="277" spans="1:1" ht="15" x14ac:dyDescent="0.25">
      <c r="A277" s="31" t="s">
        <v>962</v>
      </c>
    </row>
    <row r="278" spans="1:1" ht="15" x14ac:dyDescent="0.25">
      <c r="A278" s="31" t="s">
        <v>963</v>
      </c>
    </row>
    <row r="279" spans="1:1" ht="15" x14ac:dyDescent="0.25">
      <c r="A279" s="31" t="s">
        <v>964</v>
      </c>
    </row>
    <row r="280" spans="1:1" ht="15" x14ac:dyDescent="0.25">
      <c r="A280" s="31" t="s">
        <v>965</v>
      </c>
    </row>
    <row r="281" spans="1:1" ht="15" x14ac:dyDescent="0.25">
      <c r="A281" s="31" t="s">
        <v>966</v>
      </c>
    </row>
    <row r="282" spans="1:1" ht="15" x14ac:dyDescent="0.25">
      <c r="A282" s="31" t="s">
        <v>967</v>
      </c>
    </row>
    <row r="283" spans="1:1" ht="15" x14ac:dyDescent="0.25">
      <c r="A283" s="31" t="s">
        <v>968</v>
      </c>
    </row>
    <row r="284" spans="1:1" ht="15" x14ac:dyDescent="0.25">
      <c r="A284" s="31" t="s">
        <v>969</v>
      </c>
    </row>
    <row r="285" spans="1:1" ht="15" x14ac:dyDescent="0.25">
      <c r="A285" s="31" t="s">
        <v>970</v>
      </c>
    </row>
    <row r="286" spans="1:1" ht="15" x14ac:dyDescent="0.25">
      <c r="A286" s="31" t="s">
        <v>971</v>
      </c>
    </row>
    <row r="287" spans="1:1" ht="15" x14ac:dyDescent="0.25">
      <c r="A287" s="31" t="s">
        <v>972</v>
      </c>
    </row>
    <row r="288" spans="1:1" ht="15" x14ac:dyDescent="0.25">
      <c r="A288" s="31" t="s">
        <v>973</v>
      </c>
    </row>
    <row r="289" spans="1:1" ht="15" x14ac:dyDescent="0.25">
      <c r="A289" s="31" t="s">
        <v>974</v>
      </c>
    </row>
    <row r="290" spans="1:1" ht="15" x14ac:dyDescent="0.25">
      <c r="A290" s="31" t="s">
        <v>975</v>
      </c>
    </row>
    <row r="291" spans="1:1" ht="15" x14ac:dyDescent="0.25">
      <c r="A291" s="31" t="s">
        <v>976</v>
      </c>
    </row>
    <row r="292" spans="1:1" ht="15" x14ac:dyDescent="0.25">
      <c r="A292" s="31" t="s">
        <v>977</v>
      </c>
    </row>
    <row r="293" spans="1:1" ht="15" x14ac:dyDescent="0.25">
      <c r="A293" s="31" t="s">
        <v>978</v>
      </c>
    </row>
    <row r="294" spans="1:1" ht="15" x14ac:dyDescent="0.25">
      <c r="A294" s="31" t="s">
        <v>979</v>
      </c>
    </row>
    <row r="295" spans="1:1" ht="15" x14ac:dyDescent="0.25">
      <c r="A295" s="31" t="s">
        <v>980</v>
      </c>
    </row>
    <row r="296" spans="1:1" ht="15" x14ac:dyDescent="0.25">
      <c r="A296" s="31" t="s">
        <v>981</v>
      </c>
    </row>
    <row r="297" spans="1:1" ht="15" x14ac:dyDescent="0.25">
      <c r="A297" s="31" t="s">
        <v>982</v>
      </c>
    </row>
    <row r="298" spans="1:1" ht="15" x14ac:dyDescent="0.25">
      <c r="A298" s="31" t="s">
        <v>983</v>
      </c>
    </row>
    <row r="299" spans="1:1" ht="15" x14ac:dyDescent="0.25">
      <c r="A299" s="31" t="s">
        <v>984</v>
      </c>
    </row>
    <row r="300" spans="1:1" ht="15" x14ac:dyDescent="0.25">
      <c r="A300" s="31" t="s">
        <v>985</v>
      </c>
    </row>
    <row r="301" spans="1:1" ht="15" x14ac:dyDescent="0.25">
      <c r="A301" s="31" t="s">
        <v>986</v>
      </c>
    </row>
    <row r="302" spans="1:1" ht="15" x14ac:dyDescent="0.25">
      <c r="A302" s="31" t="s">
        <v>987</v>
      </c>
    </row>
    <row r="303" spans="1:1" ht="15" x14ac:dyDescent="0.25">
      <c r="A303" s="31" t="s">
        <v>988</v>
      </c>
    </row>
    <row r="304" spans="1:1" ht="15" x14ac:dyDescent="0.25">
      <c r="A304" s="31" t="s">
        <v>989</v>
      </c>
    </row>
    <row r="305" spans="1:1" ht="15" x14ac:dyDescent="0.25">
      <c r="A305" s="31" t="s">
        <v>990</v>
      </c>
    </row>
    <row r="306" spans="1:1" ht="15" x14ac:dyDescent="0.25">
      <c r="A306" s="31" t="s">
        <v>991</v>
      </c>
    </row>
    <row r="307" spans="1:1" ht="15" x14ac:dyDescent="0.25">
      <c r="A307" s="31" t="s">
        <v>992</v>
      </c>
    </row>
    <row r="308" spans="1:1" ht="15" x14ac:dyDescent="0.25">
      <c r="A308" s="31" t="s">
        <v>993</v>
      </c>
    </row>
    <row r="309" spans="1:1" ht="15" x14ac:dyDescent="0.25">
      <c r="A309" s="31" t="s">
        <v>994</v>
      </c>
    </row>
    <row r="310" spans="1:1" ht="15" x14ac:dyDescent="0.25">
      <c r="A310" s="31" t="s">
        <v>995</v>
      </c>
    </row>
    <row r="311" spans="1:1" ht="15" x14ac:dyDescent="0.25">
      <c r="A311" s="31" t="s">
        <v>996</v>
      </c>
    </row>
    <row r="312" spans="1:1" ht="15" x14ac:dyDescent="0.25">
      <c r="A312" s="31" t="s">
        <v>997</v>
      </c>
    </row>
    <row r="313" spans="1:1" ht="15" x14ac:dyDescent="0.25">
      <c r="A313" s="31" t="s">
        <v>998</v>
      </c>
    </row>
    <row r="314" spans="1:1" ht="15" x14ac:dyDescent="0.25">
      <c r="A314" s="31" t="s">
        <v>999</v>
      </c>
    </row>
    <row r="315" spans="1:1" ht="15" x14ac:dyDescent="0.25">
      <c r="A315" s="31" t="s">
        <v>1000</v>
      </c>
    </row>
    <row r="316" spans="1:1" ht="15" x14ac:dyDescent="0.25">
      <c r="A316" s="31" t="s">
        <v>1001</v>
      </c>
    </row>
    <row r="317" spans="1:1" ht="15" x14ac:dyDescent="0.25">
      <c r="A317" s="31" t="s">
        <v>1002</v>
      </c>
    </row>
    <row r="318" spans="1:1" ht="15" x14ac:dyDescent="0.25">
      <c r="A318" s="31" t="s">
        <v>1003</v>
      </c>
    </row>
    <row r="319" spans="1:1" ht="15" x14ac:dyDescent="0.25">
      <c r="A319" s="31" t="s">
        <v>1004</v>
      </c>
    </row>
    <row r="320" spans="1:1" ht="15" x14ac:dyDescent="0.25">
      <c r="A320" s="31" t="s">
        <v>1005</v>
      </c>
    </row>
    <row r="321" spans="1:1" ht="15" x14ac:dyDescent="0.25">
      <c r="A321" s="31" t="s">
        <v>1006</v>
      </c>
    </row>
    <row r="322" spans="1:1" ht="15" x14ac:dyDescent="0.25">
      <c r="A322" s="31" t="s">
        <v>1007</v>
      </c>
    </row>
    <row r="323" spans="1:1" ht="15" x14ac:dyDescent="0.25">
      <c r="A323" s="31" t="s">
        <v>1008</v>
      </c>
    </row>
    <row r="324" spans="1:1" ht="15" x14ac:dyDescent="0.25">
      <c r="A324" s="31" t="s">
        <v>1009</v>
      </c>
    </row>
    <row r="325" spans="1:1" ht="15" x14ac:dyDescent="0.25">
      <c r="A325" s="31" t="s">
        <v>1010</v>
      </c>
    </row>
    <row r="326" spans="1:1" ht="15" x14ac:dyDescent="0.25">
      <c r="A326" s="31" t="s">
        <v>1011</v>
      </c>
    </row>
    <row r="327" spans="1:1" ht="15" x14ac:dyDescent="0.25">
      <c r="A327" s="31" t="s">
        <v>1012</v>
      </c>
    </row>
    <row r="328" spans="1:1" ht="15" x14ac:dyDescent="0.25">
      <c r="A328" s="31" t="s">
        <v>1013</v>
      </c>
    </row>
    <row r="329" spans="1:1" ht="15" x14ac:dyDescent="0.25">
      <c r="A329" s="31" t="s">
        <v>1014</v>
      </c>
    </row>
    <row r="330" spans="1:1" ht="15" x14ac:dyDescent="0.25">
      <c r="A330" s="31" t="s">
        <v>1015</v>
      </c>
    </row>
    <row r="331" spans="1:1" ht="15" x14ac:dyDescent="0.25">
      <c r="A331" s="31" t="s">
        <v>1016</v>
      </c>
    </row>
    <row r="332" spans="1:1" ht="15" x14ac:dyDescent="0.25">
      <c r="A332" s="31" t="s">
        <v>1017</v>
      </c>
    </row>
    <row r="333" spans="1:1" ht="15" x14ac:dyDescent="0.25">
      <c r="A333" s="31" t="s">
        <v>1018</v>
      </c>
    </row>
    <row r="334" spans="1:1" ht="15" x14ac:dyDescent="0.25">
      <c r="A334" s="31" t="s">
        <v>1019</v>
      </c>
    </row>
    <row r="335" spans="1:1" ht="15" x14ac:dyDescent="0.25">
      <c r="A335" s="31" t="s">
        <v>1020</v>
      </c>
    </row>
    <row r="336" spans="1:1" ht="15" x14ac:dyDescent="0.25">
      <c r="A336" s="31" t="s">
        <v>1021</v>
      </c>
    </row>
    <row r="337" spans="1:1" ht="15" x14ac:dyDescent="0.25">
      <c r="A337" s="31" t="s">
        <v>1022</v>
      </c>
    </row>
    <row r="338" spans="1:1" ht="15" x14ac:dyDescent="0.25">
      <c r="A338" s="31" t="s">
        <v>1023</v>
      </c>
    </row>
    <row r="339" spans="1:1" ht="15" x14ac:dyDescent="0.25">
      <c r="A339" s="31" t="s">
        <v>1024</v>
      </c>
    </row>
    <row r="340" spans="1:1" ht="15" x14ac:dyDescent="0.25">
      <c r="A340" s="31" t="s">
        <v>1025</v>
      </c>
    </row>
    <row r="341" spans="1:1" ht="15" x14ac:dyDescent="0.25">
      <c r="A341" s="31" t="s">
        <v>1026</v>
      </c>
    </row>
    <row r="342" spans="1:1" ht="15" x14ac:dyDescent="0.25">
      <c r="A342" s="31" t="s">
        <v>1027</v>
      </c>
    </row>
    <row r="343" spans="1:1" ht="15" x14ac:dyDescent="0.25">
      <c r="A343" s="31" t="s">
        <v>1028</v>
      </c>
    </row>
    <row r="344" spans="1:1" ht="15" x14ac:dyDescent="0.25">
      <c r="A344" s="31" t="s">
        <v>1029</v>
      </c>
    </row>
    <row r="345" spans="1:1" ht="15" x14ac:dyDescent="0.25">
      <c r="A345" s="31" t="s">
        <v>1030</v>
      </c>
    </row>
    <row r="346" spans="1:1" ht="15" x14ac:dyDescent="0.25">
      <c r="A346" s="31" t="s">
        <v>1031</v>
      </c>
    </row>
    <row r="347" spans="1:1" ht="15" x14ac:dyDescent="0.25">
      <c r="A347" s="31" t="s">
        <v>1032</v>
      </c>
    </row>
    <row r="348" spans="1:1" ht="15" x14ac:dyDescent="0.25">
      <c r="A348" s="31" t="s">
        <v>1033</v>
      </c>
    </row>
    <row r="349" spans="1:1" ht="15" x14ac:dyDescent="0.25">
      <c r="A349" s="31" t="s">
        <v>1034</v>
      </c>
    </row>
    <row r="350" spans="1:1" ht="15" x14ac:dyDescent="0.25">
      <c r="A350" s="31" t="s">
        <v>1035</v>
      </c>
    </row>
    <row r="351" spans="1:1" ht="15" x14ac:dyDescent="0.25">
      <c r="A351" s="31" t="s">
        <v>1036</v>
      </c>
    </row>
    <row r="352" spans="1:1" ht="15" x14ac:dyDescent="0.25">
      <c r="A352" s="31" t="s">
        <v>1037</v>
      </c>
    </row>
    <row r="353" spans="1:1" ht="15" x14ac:dyDescent="0.25">
      <c r="A353" s="31" t="s">
        <v>1038</v>
      </c>
    </row>
    <row r="354" spans="1:1" ht="15" x14ac:dyDescent="0.25">
      <c r="A354" s="31" t="s">
        <v>1039</v>
      </c>
    </row>
    <row r="355" spans="1:1" ht="15" x14ac:dyDescent="0.25">
      <c r="A355" s="31" t="s">
        <v>1040</v>
      </c>
    </row>
    <row r="356" spans="1:1" ht="15" x14ac:dyDescent="0.25">
      <c r="A356" s="31" t="s">
        <v>1041</v>
      </c>
    </row>
    <row r="357" spans="1:1" ht="15" x14ac:dyDescent="0.25">
      <c r="A357" s="31" t="s">
        <v>1042</v>
      </c>
    </row>
    <row r="358" spans="1:1" ht="15" x14ac:dyDescent="0.25">
      <c r="A358" s="31" t="s">
        <v>1043</v>
      </c>
    </row>
    <row r="359" spans="1:1" ht="15" x14ac:dyDescent="0.25">
      <c r="A359" s="31" t="s">
        <v>1044</v>
      </c>
    </row>
    <row r="360" spans="1:1" ht="15" x14ac:dyDescent="0.25">
      <c r="A360" s="31" t="s">
        <v>1045</v>
      </c>
    </row>
    <row r="361" spans="1:1" ht="15" x14ac:dyDescent="0.25">
      <c r="A361" s="31" t="s">
        <v>1046</v>
      </c>
    </row>
    <row r="362" spans="1:1" ht="15" x14ac:dyDescent="0.25">
      <c r="A362" s="31" t="s">
        <v>1047</v>
      </c>
    </row>
    <row r="363" spans="1:1" ht="15" x14ac:dyDescent="0.25">
      <c r="A363" s="31" t="s">
        <v>1048</v>
      </c>
    </row>
    <row r="364" spans="1:1" ht="15" x14ac:dyDescent="0.25">
      <c r="A364" s="31" t="s">
        <v>1049</v>
      </c>
    </row>
    <row r="365" spans="1:1" ht="15" x14ac:dyDescent="0.25">
      <c r="A365" s="31" t="s">
        <v>1050</v>
      </c>
    </row>
    <row r="366" spans="1:1" ht="15" x14ac:dyDescent="0.25">
      <c r="A366" s="31" t="s">
        <v>1051</v>
      </c>
    </row>
    <row r="367" spans="1:1" ht="15" x14ac:dyDescent="0.25">
      <c r="A367" s="31" t="s">
        <v>1052</v>
      </c>
    </row>
    <row r="368" spans="1:1" ht="15" x14ac:dyDescent="0.25">
      <c r="A368" s="31" t="s">
        <v>1053</v>
      </c>
    </row>
    <row r="369" spans="1:1" ht="15" x14ac:dyDescent="0.25">
      <c r="A369" s="31" t="s">
        <v>1054</v>
      </c>
    </row>
    <row r="370" spans="1:1" ht="15" x14ac:dyDescent="0.25">
      <c r="A370" s="31" t="s">
        <v>1055</v>
      </c>
    </row>
    <row r="371" spans="1:1" ht="15" x14ac:dyDescent="0.25">
      <c r="A371" s="31" t="s">
        <v>1056</v>
      </c>
    </row>
    <row r="372" spans="1:1" ht="15" x14ac:dyDescent="0.25">
      <c r="A372" s="31" t="s">
        <v>1057</v>
      </c>
    </row>
    <row r="373" spans="1:1" ht="15" x14ac:dyDescent="0.25">
      <c r="A373" s="31" t="s">
        <v>1058</v>
      </c>
    </row>
    <row r="374" spans="1:1" ht="15" x14ac:dyDescent="0.25">
      <c r="A374" s="31" t="s">
        <v>1059</v>
      </c>
    </row>
    <row r="375" spans="1:1" ht="15" x14ac:dyDescent="0.25">
      <c r="A375" s="31" t="s">
        <v>1060</v>
      </c>
    </row>
    <row r="376" spans="1:1" ht="15" x14ac:dyDescent="0.25">
      <c r="A376" s="31" t="s">
        <v>1061</v>
      </c>
    </row>
    <row r="377" spans="1:1" ht="15" x14ac:dyDescent="0.25">
      <c r="A377" s="31" t="s">
        <v>1062</v>
      </c>
    </row>
    <row r="378" spans="1:1" ht="15" x14ac:dyDescent="0.25">
      <c r="A378" s="31" t="s">
        <v>1063</v>
      </c>
    </row>
    <row r="379" spans="1:1" ht="15" x14ac:dyDescent="0.25">
      <c r="A379" s="31" t="s">
        <v>1064</v>
      </c>
    </row>
    <row r="380" spans="1:1" ht="15" x14ac:dyDescent="0.25">
      <c r="A380" s="31" t="s">
        <v>1065</v>
      </c>
    </row>
    <row r="381" spans="1:1" ht="15" x14ac:dyDescent="0.25">
      <c r="A381" s="31" t="s">
        <v>1066</v>
      </c>
    </row>
    <row r="382" spans="1:1" ht="15" x14ac:dyDescent="0.25">
      <c r="A382" s="31" t="s">
        <v>1067</v>
      </c>
    </row>
    <row r="383" spans="1:1" ht="15" x14ac:dyDescent="0.25">
      <c r="A383" s="31" t="s">
        <v>1068</v>
      </c>
    </row>
    <row r="384" spans="1:1" ht="15" x14ac:dyDescent="0.25">
      <c r="A384" s="31" t="s">
        <v>1069</v>
      </c>
    </row>
    <row r="385" spans="1:1" ht="15" x14ac:dyDescent="0.25">
      <c r="A385" s="31" t="s">
        <v>1070</v>
      </c>
    </row>
    <row r="386" spans="1:1" ht="15" x14ac:dyDescent="0.25">
      <c r="A386" s="31" t="s">
        <v>1071</v>
      </c>
    </row>
    <row r="387" spans="1:1" ht="15" x14ac:dyDescent="0.25">
      <c r="A387" s="31" t="s">
        <v>1072</v>
      </c>
    </row>
    <row r="388" spans="1:1" ht="15" x14ac:dyDescent="0.25">
      <c r="A388" s="31" t="s">
        <v>1073</v>
      </c>
    </row>
    <row r="389" spans="1:1" ht="15" x14ac:dyDescent="0.25">
      <c r="A389" s="31" t="s">
        <v>1074</v>
      </c>
    </row>
    <row r="390" spans="1:1" ht="15" x14ac:dyDescent="0.25">
      <c r="A390" s="31" t="s">
        <v>1075</v>
      </c>
    </row>
    <row r="391" spans="1:1" ht="15" x14ac:dyDescent="0.25">
      <c r="A391" s="31" t="s">
        <v>1076</v>
      </c>
    </row>
    <row r="392" spans="1:1" ht="15" x14ac:dyDescent="0.25">
      <c r="A392" s="31" t="s">
        <v>1077</v>
      </c>
    </row>
    <row r="393" spans="1:1" ht="15" x14ac:dyDescent="0.25">
      <c r="A393" s="31" t="s">
        <v>1078</v>
      </c>
    </row>
    <row r="394" spans="1:1" ht="15" x14ac:dyDescent="0.25">
      <c r="A394" s="31" t="s">
        <v>1079</v>
      </c>
    </row>
    <row r="395" spans="1:1" ht="15" x14ac:dyDescent="0.25">
      <c r="A395" s="31" t="s">
        <v>1080</v>
      </c>
    </row>
    <row r="396" spans="1:1" ht="15" x14ac:dyDescent="0.25">
      <c r="A396" s="31" t="s">
        <v>1081</v>
      </c>
    </row>
    <row r="397" spans="1:1" ht="15" x14ac:dyDescent="0.25">
      <c r="A397" s="31" t="s">
        <v>1082</v>
      </c>
    </row>
    <row r="398" spans="1:1" ht="15" x14ac:dyDescent="0.25">
      <c r="A398" s="31" t="s">
        <v>1083</v>
      </c>
    </row>
    <row r="399" spans="1:1" ht="15" x14ac:dyDescent="0.25">
      <c r="A399" s="31" t="s">
        <v>1084</v>
      </c>
    </row>
    <row r="400" spans="1:1" ht="15" x14ac:dyDescent="0.25">
      <c r="A400" s="31" t="s">
        <v>1085</v>
      </c>
    </row>
    <row r="401" spans="1:1" ht="15" x14ac:dyDescent="0.25">
      <c r="A401" s="31" t="s">
        <v>1086</v>
      </c>
    </row>
    <row r="402" spans="1:1" ht="15" x14ac:dyDescent="0.25">
      <c r="A402" s="31" t="s">
        <v>1087</v>
      </c>
    </row>
    <row r="403" spans="1:1" ht="15" x14ac:dyDescent="0.25">
      <c r="A403" s="31" t="s">
        <v>1088</v>
      </c>
    </row>
    <row r="404" spans="1:1" ht="15" x14ac:dyDescent="0.25">
      <c r="A404" s="31" t="s">
        <v>1089</v>
      </c>
    </row>
    <row r="405" spans="1:1" ht="15" x14ac:dyDescent="0.25">
      <c r="A405" s="31" t="s">
        <v>1090</v>
      </c>
    </row>
    <row r="406" spans="1:1" ht="15" x14ac:dyDescent="0.25">
      <c r="A406" s="31" t="s">
        <v>1091</v>
      </c>
    </row>
    <row r="407" spans="1:1" ht="15" x14ac:dyDescent="0.25">
      <c r="A407" s="31" t="s">
        <v>1092</v>
      </c>
    </row>
    <row r="408" spans="1:1" ht="15" x14ac:dyDescent="0.25">
      <c r="A408" s="31" t="s">
        <v>1093</v>
      </c>
    </row>
    <row r="409" spans="1:1" ht="15" x14ac:dyDescent="0.25">
      <c r="A409" s="31" t="s">
        <v>1094</v>
      </c>
    </row>
    <row r="410" spans="1:1" ht="15" x14ac:dyDescent="0.25">
      <c r="A410" s="31" t="s">
        <v>1095</v>
      </c>
    </row>
    <row r="411" spans="1:1" ht="15" x14ac:dyDescent="0.25">
      <c r="A411" s="31" t="s">
        <v>1096</v>
      </c>
    </row>
    <row r="412" spans="1:1" ht="15" x14ac:dyDescent="0.25">
      <c r="A412" s="31" t="s">
        <v>1097</v>
      </c>
    </row>
    <row r="413" spans="1:1" ht="15" x14ac:dyDescent="0.25">
      <c r="A413" s="31" t="s">
        <v>1098</v>
      </c>
    </row>
    <row r="414" spans="1:1" ht="15" x14ac:dyDescent="0.25">
      <c r="A414" s="31" t="s">
        <v>1099</v>
      </c>
    </row>
    <row r="415" spans="1:1" ht="15" x14ac:dyDescent="0.25">
      <c r="A415" s="31" t="s">
        <v>1100</v>
      </c>
    </row>
    <row r="416" spans="1:1" ht="15" x14ac:dyDescent="0.25">
      <c r="A416" s="31" t="s">
        <v>1101</v>
      </c>
    </row>
    <row r="417" spans="1:1" ht="15" x14ac:dyDescent="0.25">
      <c r="A417" s="31" t="s">
        <v>1102</v>
      </c>
    </row>
    <row r="418" spans="1:1" ht="15" x14ac:dyDescent="0.25">
      <c r="A418" s="31" t="s">
        <v>1103</v>
      </c>
    </row>
    <row r="419" spans="1:1" ht="15" x14ac:dyDescent="0.25">
      <c r="A419" s="31" t="s">
        <v>1104</v>
      </c>
    </row>
    <row r="420" spans="1:1" ht="15" x14ac:dyDescent="0.25">
      <c r="A420" s="31" t="s">
        <v>1105</v>
      </c>
    </row>
    <row r="421" spans="1:1" ht="15" x14ac:dyDescent="0.25">
      <c r="A421" s="31" t="s">
        <v>1106</v>
      </c>
    </row>
    <row r="422" spans="1:1" ht="15" x14ac:dyDescent="0.25">
      <c r="A422" s="31" t="s">
        <v>1107</v>
      </c>
    </row>
    <row r="423" spans="1:1" ht="15" x14ac:dyDescent="0.25">
      <c r="A423" s="31" t="s">
        <v>1108</v>
      </c>
    </row>
    <row r="424" spans="1:1" ht="15" x14ac:dyDescent="0.25">
      <c r="A424" s="31" t="s">
        <v>1109</v>
      </c>
    </row>
    <row r="425" spans="1:1" ht="15" x14ac:dyDescent="0.25">
      <c r="A425" s="31" t="s">
        <v>1110</v>
      </c>
    </row>
    <row r="426" spans="1:1" ht="15" x14ac:dyDescent="0.25">
      <c r="A426" s="31" t="s">
        <v>1111</v>
      </c>
    </row>
    <row r="427" spans="1:1" ht="15" x14ac:dyDescent="0.25">
      <c r="A427" s="31" t="s">
        <v>1112</v>
      </c>
    </row>
    <row r="428" spans="1:1" ht="15" x14ac:dyDescent="0.25">
      <c r="A428" s="31" t="s">
        <v>1113</v>
      </c>
    </row>
    <row r="429" spans="1:1" ht="15" x14ac:dyDescent="0.25">
      <c r="A429" s="31" t="s">
        <v>1114</v>
      </c>
    </row>
    <row r="430" spans="1:1" ht="15" x14ac:dyDescent="0.25">
      <c r="A430" s="31" t="s">
        <v>1115</v>
      </c>
    </row>
    <row r="431" spans="1:1" ht="15" x14ac:dyDescent="0.25">
      <c r="A431" s="31" t="s">
        <v>1116</v>
      </c>
    </row>
    <row r="432" spans="1:1" ht="15" x14ac:dyDescent="0.25">
      <c r="A432" s="31" t="s">
        <v>1117</v>
      </c>
    </row>
    <row r="433" spans="1:1" ht="15" x14ac:dyDescent="0.25">
      <c r="A433" s="31" t="s">
        <v>1118</v>
      </c>
    </row>
    <row r="434" spans="1:1" ht="15" x14ac:dyDescent="0.25">
      <c r="A434" s="31" t="s">
        <v>1119</v>
      </c>
    </row>
    <row r="435" spans="1:1" ht="15" x14ac:dyDescent="0.25">
      <c r="A435" s="31" t="s">
        <v>1120</v>
      </c>
    </row>
    <row r="436" spans="1:1" ht="15" x14ac:dyDescent="0.25">
      <c r="A436" s="31" t="s">
        <v>1121</v>
      </c>
    </row>
    <row r="437" spans="1:1" ht="15" x14ac:dyDescent="0.25">
      <c r="A437" s="31" t="s">
        <v>1122</v>
      </c>
    </row>
    <row r="438" spans="1:1" ht="15" x14ac:dyDescent="0.25">
      <c r="A438" s="31" t="s">
        <v>1123</v>
      </c>
    </row>
    <row r="439" spans="1:1" ht="15" x14ac:dyDescent="0.25">
      <c r="A439" s="31" t="s">
        <v>1124</v>
      </c>
    </row>
    <row r="440" spans="1:1" ht="15" x14ac:dyDescent="0.25">
      <c r="A440" s="31" t="s">
        <v>1125</v>
      </c>
    </row>
    <row r="441" spans="1:1" ht="15" x14ac:dyDescent="0.25">
      <c r="A441" s="31" t="s">
        <v>1126</v>
      </c>
    </row>
    <row r="442" spans="1:1" ht="15" x14ac:dyDescent="0.25">
      <c r="A442" s="31" t="s">
        <v>1127</v>
      </c>
    </row>
    <row r="443" spans="1:1" ht="15" x14ac:dyDescent="0.25">
      <c r="A443" s="31" t="s">
        <v>1128</v>
      </c>
    </row>
    <row r="444" spans="1:1" ht="15" x14ac:dyDescent="0.25">
      <c r="A444" s="31" t="s">
        <v>1129</v>
      </c>
    </row>
    <row r="445" spans="1:1" ht="15" x14ac:dyDescent="0.25">
      <c r="A445" s="31" t="s">
        <v>1130</v>
      </c>
    </row>
    <row r="446" spans="1:1" ht="15" x14ac:dyDescent="0.25">
      <c r="A446" s="31" t="s">
        <v>1131</v>
      </c>
    </row>
    <row r="447" spans="1:1" ht="15" x14ac:dyDescent="0.25">
      <c r="A447" s="31" t="s">
        <v>1132</v>
      </c>
    </row>
    <row r="448" spans="1:1" ht="15" x14ac:dyDescent="0.25">
      <c r="A448" s="31" t="s">
        <v>1133</v>
      </c>
    </row>
    <row r="449" spans="1:1" ht="15" x14ac:dyDescent="0.25">
      <c r="A449" s="31" t="s">
        <v>1134</v>
      </c>
    </row>
    <row r="450" spans="1:1" ht="15" x14ac:dyDescent="0.25">
      <c r="A450" s="31" t="s">
        <v>1135</v>
      </c>
    </row>
    <row r="451" spans="1:1" ht="15" x14ac:dyDescent="0.25">
      <c r="A451" s="31" t="s">
        <v>1136</v>
      </c>
    </row>
    <row r="452" spans="1:1" ht="15" x14ac:dyDescent="0.25">
      <c r="A452" s="31" t="s">
        <v>1137</v>
      </c>
    </row>
    <row r="453" spans="1:1" ht="15" x14ac:dyDescent="0.25">
      <c r="A453" s="31" t="s">
        <v>1138</v>
      </c>
    </row>
    <row r="454" spans="1:1" ht="15" x14ac:dyDescent="0.25">
      <c r="A454" s="31" t="s">
        <v>1139</v>
      </c>
    </row>
    <row r="455" spans="1:1" ht="15" x14ac:dyDescent="0.25">
      <c r="A455" s="31" t="s">
        <v>1140</v>
      </c>
    </row>
    <row r="456" spans="1:1" ht="15" x14ac:dyDescent="0.25">
      <c r="A456" s="31" t="s">
        <v>1141</v>
      </c>
    </row>
    <row r="457" spans="1:1" ht="15" x14ac:dyDescent="0.25">
      <c r="A457" s="31" t="s">
        <v>1142</v>
      </c>
    </row>
    <row r="458" spans="1:1" ht="15" x14ac:dyDescent="0.25">
      <c r="A458" s="31" t="s">
        <v>1143</v>
      </c>
    </row>
    <row r="459" spans="1:1" ht="15" x14ac:dyDescent="0.25">
      <c r="A459" s="31" t="s">
        <v>1144</v>
      </c>
    </row>
    <row r="460" spans="1:1" ht="15" x14ac:dyDescent="0.25">
      <c r="A460" s="31" t="s">
        <v>1145</v>
      </c>
    </row>
    <row r="461" spans="1:1" ht="15" x14ac:dyDescent="0.25">
      <c r="A461" s="31" t="s">
        <v>1146</v>
      </c>
    </row>
    <row r="462" spans="1:1" ht="15" x14ac:dyDescent="0.25">
      <c r="A462" s="31" t="s">
        <v>1147</v>
      </c>
    </row>
    <row r="463" spans="1:1" ht="15" x14ac:dyDescent="0.25">
      <c r="A463" s="31" t="s">
        <v>1148</v>
      </c>
    </row>
    <row r="464" spans="1:1" ht="15" x14ac:dyDescent="0.25">
      <c r="A464" s="31" t="s">
        <v>1149</v>
      </c>
    </row>
    <row r="465" spans="1:1" ht="15" x14ac:dyDescent="0.25">
      <c r="A465" s="31" t="s">
        <v>1150</v>
      </c>
    </row>
    <row r="466" spans="1:1" ht="15" x14ac:dyDescent="0.25">
      <c r="A466" s="31" t="s">
        <v>1151</v>
      </c>
    </row>
    <row r="467" spans="1:1" ht="15" x14ac:dyDescent="0.25">
      <c r="A467" s="31" t="s">
        <v>1152</v>
      </c>
    </row>
    <row r="468" spans="1:1" ht="15" x14ac:dyDescent="0.25">
      <c r="A468" s="31" t="s">
        <v>1153</v>
      </c>
    </row>
    <row r="469" spans="1:1" ht="15" x14ac:dyDescent="0.25">
      <c r="A469" s="31" t="s">
        <v>1154</v>
      </c>
    </row>
    <row r="470" spans="1:1" ht="15" x14ac:dyDescent="0.25">
      <c r="A470" s="31" t="s">
        <v>1155</v>
      </c>
    </row>
    <row r="471" spans="1:1" ht="15" x14ac:dyDescent="0.25">
      <c r="A471" s="31" t="s">
        <v>1156</v>
      </c>
    </row>
    <row r="472" spans="1:1" ht="15" x14ac:dyDescent="0.25">
      <c r="A472" s="31" t="s">
        <v>1157</v>
      </c>
    </row>
    <row r="473" spans="1:1" ht="15" x14ac:dyDescent="0.25">
      <c r="A473" s="31" t="s">
        <v>1158</v>
      </c>
    </row>
    <row r="474" spans="1:1" ht="15" x14ac:dyDescent="0.25">
      <c r="A474" s="31" t="s">
        <v>1159</v>
      </c>
    </row>
    <row r="475" spans="1:1" ht="15" x14ac:dyDescent="0.25">
      <c r="A475" s="31" t="s">
        <v>1160</v>
      </c>
    </row>
    <row r="476" spans="1:1" ht="15" x14ac:dyDescent="0.25">
      <c r="A476" s="31" t="s">
        <v>1161</v>
      </c>
    </row>
    <row r="477" spans="1:1" ht="15" x14ac:dyDescent="0.25">
      <c r="A477" s="31" t="s">
        <v>1162</v>
      </c>
    </row>
    <row r="478" spans="1:1" ht="15" x14ac:dyDescent="0.25">
      <c r="A478" s="31" t="s">
        <v>1163</v>
      </c>
    </row>
    <row r="479" spans="1:1" ht="15" x14ac:dyDescent="0.25">
      <c r="A479" s="31" t="s">
        <v>1164</v>
      </c>
    </row>
    <row r="480" spans="1:1" ht="15" x14ac:dyDescent="0.25">
      <c r="A480" s="31" t="s">
        <v>1165</v>
      </c>
    </row>
    <row r="481" spans="1:1" ht="15" x14ac:dyDescent="0.25">
      <c r="A481" s="31" t="s">
        <v>1166</v>
      </c>
    </row>
    <row r="482" spans="1:1" ht="15" x14ac:dyDescent="0.25">
      <c r="A482" s="31" t="s">
        <v>1167</v>
      </c>
    </row>
    <row r="483" spans="1:1" ht="15" x14ac:dyDescent="0.25">
      <c r="A483" s="31" t="s">
        <v>1168</v>
      </c>
    </row>
    <row r="484" spans="1:1" ht="15" x14ac:dyDescent="0.25">
      <c r="A484" s="31" t="s">
        <v>1169</v>
      </c>
    </row>
    <row r="485" spans="1:1" ht="15" x14ac:dyDescent="0.25">
      <c r="A485" s="31" t="s">
        <v>1170</v>
      </c>
    </row>
    <row r="486" spans="1:1" ht="15" x14ac:dyDescent="0.25">
      <c r="A486" s="31" t="s">
        <v>1171</v>
      </c>
    </row>
    <row r="487" spans="1:1" ht="15" x14ac:dyDescent="0.25">
      <c r="A487" s="31" t="s">
        <v>1172</v>
      </c>
    </row>
    <row r="488" spans="1:1" ht="15" x14ac:dyDescent="0.25">
      <c r="A488" s="31" t="s">
        <v>1173</v>
      </c>
    </row>
    <row r="489" spans="1:1" ht="15" x14ac:dyDescent="0.25">
      <c r="A489" s="31" t="s">
        <v>1174</v>
      </c>
    </row>
    <row r="490" spans="1:1" ht="15" x14ac:dyDescent="0.25">
      <c r="A490" s="31" t="s">
        <v>1175</v>
      </c>
    </row>
    <row r="491" spans="1:1" ht="15" x14ac:dyDescent="0.25">
      <c r="A491" s="31" t="s">
        <v>1176</v>
      </c>
    </row>
    <row r="492" spans="1:1" ht="15" x14ac:dyDescent="0.25">
      <c r="A492" s="31" t="s">
        <v>1177</v>
      </c>
    </row>
    <row r="493" spans="1:1" ht="15" x14ac:dyDescent="0.25">
      <c r="A493" s="31" t="s">
        <v>1178</v>
      </c>
    </row>
    <row r="494" spans="1:1" ht="15" x14ac:dyDescent="0.25">
      <c r="A494" s="31" t="s">
        <v>1179</v>
      </c>
    </row>
    <row r="495" spans="1:1" ht="15" x14ac:dyDescent="0.25">
      <c r="A495" s="31" t="s">
        <v>1180</v>
      </c>
    </row>
    <row r="496" spans="1:1" ht="15" x14ac:dyDescent="0.25">
      <c r="A496" s="31" t="s">
        <v>1181</v>
      </c>
    </row>
    <row r="497" spans="1:1" ht="15" x14ac:dyDescent="0.25">
      <c r="A497" s="31" t="s">
        <v>1182</v>
      </c>
    </row>
    <row r="498" spans="1:1" ht="15" x14ac:dyDescent="0.25">
      <c r="A498" s="31" t="s">
        <v>1183</v>
      </c>
    </row>
    <row r="499" spans="1:1" ht="15" x14ac:dyDescent="0.25">
      <c r="A499" s="31" t="s">
        <v>1184</v>
      </c>
    </row>
    <row r="500" spans="1:1" ht="15" x14ac:dyDescent="0.25">
      <c r="A500" s="31" t="s">
        <v>1185</v>
      </c>
    </row>
    <row r="501" spans="1:1" ht="15" x14ac:dyDescent="0.25">
      <c r="A501" s="31" t="s">
        <v>1186</v>
      </c>
    </row>
    <row r="502" spans="1:1" ht="15" x14ac:dyDescent="0.25">
      <c r="A502" s="31" t="s">
        <v>1187</v>
      </c>
    </row>
    <row r="503" spans="1:1" ht="15" x14ac:dyDescent="0.25">
      <c r="A503" s="31" t="s">
        <v>1188</v>
      </c>
    </row>
    <row r="504" spans="1:1" ht="15" x14ac:dyDescent="0.25">
      <c r="A504" s="31" t="s">
        <v>1189</v>
      </c>
    </row>
    <row r="505" spans="1:1" ht="15" x14ac:dyDescent="0.25">
      <c r="A505" s="31" t="s">
        <v>1190</v>
      </c>
    </row>
    <row r="506" spans="1:1" ht="15" x14ac:dyDescent="0.25">
      <c r="A506" s="31" t="s">
        <v>1191</v>
      </c>
    </row>
    <row r="507" spans="1:1" ht="15" x14ac:dyDescent="0.25">
      <c r="A507" s="31" t="s">
        <v>1192</v>
      </c>
    </row>
    <row r="508" spans="1:1" ht="15" x14ac:dyDescent="0.25">
      <c r="A508" s="31" t="s">
        <v>1193</v>
      </c>
    </row>
    <row r="509" spans="1:1" ht="15" x14ac:dyDescent="0.25">
      <c r="A509" s="31" t="s">
        <v>1194</v>
      </c>
    </row>
    <row r="510" spans="1:1" ht="15" x14ac:dyDescent="0.25">
      <c r="A510" s="31" t="s">
        <v>1195</v>
      </c>
    </row>
    <row r="511" spans="1:1" ht="15" x14ac:dyDescent="0.25">
      <c r="A511" s="31" t="s">
        <v>1196</v>
      </c>
    </row>
    <row r="512" spans="1:1" ht="15" x14ac:dyDescent="0.25">
      <c r="A512" s="31" t="s">
        <v>1197</v>
      </c>
    </row>
    <row r="513" spans="1:1" ht="15" x14ac:dyDescent="0.25">
      <c r="A513" s="31" t="s">
        <v>1198</v>
      </c>
    </row>
    <row r="514" spans="1:1" ht="15" x14ac:dyDescent="0.25">
      <c r="A514" s="31" t="s">
        <v>1199</v>
      </c>
    </row>
    <row r="515" spans="1:1" ht="15" x14ac:dyDescent="0.25">
      <c r="A515" s="31" t="s">
        <v>1200</v>
      </c>
    </row>
    <row r="516" spans="1:1" ht="15" x14ac:dyDescent="0.25">
      <c r="A516" s="31" t="s">
        <v>1201</v>
      </c>
    </row>
    <row r="517" spans="1:1" ht="15" x14ac:dyDescent="0.25">
      <c r="A517" s="31" t="s">
        <v>1202</v>
      </c>
    </row>
    <row r="518" spans="1:1" ht="15" x14ac:dyDescent="0.25">
      <c r="A518" s="31" t="s">
        <v>1203</v>
      </c>
    </row>
    <row r="519" spans="1:1" ht="15" x14ac:dyDescent="0.25">
      <c r="A519" s="31" t="s">
        <v>1204</v>
      </c>
    </row>
    <row r="520" spans="1:1" ht="15" x14ac:dyDescent="0.25">
      <c r="A520" s="31" t="s">
        <v>1205</v>
      </c>
    </row>
    <row r="521" spans="1:1" ht="15" x14ac:dyDescent="0.25">
      <c r="A521" s="31" t="s">
        <v>1206</v>
      </c>
    </row>
    <row r="522" spans="1:1" ht="15" x14ac:dyDescent="0.25">
      <c r="A522" s="31" t="s">
        <v>1207</v>
      </c>
    </row>
    <row r="523" spans="1:1" ht="15" x14ac:dyDescent="0.25">
      <c r="A523" s="31" t="s">
        <v>1208</v>
      </c>
    </row>
    <row r="524" spans="1:1" ht="15" x14ac:dyDescent="0.25">
      <c r="A524" s="31" t="s">
        <v>1209</v>
      </c>
    </row>
    <row r="525" spans="1:1" ht="15" x14ac:dyDescent="0.25">
      <c r="A525" s="31" t="s">
        <v>1210</v>
      </c>
    </row>
    <row r="526" spans="1:1" ht="15" x14ac:dyDescent="0.25">
      <c r="A526" s="31" t="s">
        <v>1211</v>
      </c>
    </row>
    <row r="527" spans="1:1" ht="15" x14ac:dyDescent="0.25">
      <c r="A527" s="31" t="s">
        <v>1212</v>
      </c>
    </row>
    <row r="528" spans="1:1" ht="15" x14ac:dyDescent="0.25">
      <c r="A528" s="31" t="s">
        <v>1213</v>
      </c>
    </row>
    <row r="529" spans="1:1" ht="15" x14ac:dyDescent="0.25">
      <c r="A529" s="31" t="s">
        <v>1214</v>
      </c>
    </row>
    <row r="530" spans="1:1" ht="15" x14ac:dyDescent="0.25">
      <c r="A530" s="31" t="s">
        <v>1215</v>
      </c>
    </row>
    <row r="531" spans="1:1" ht="15" x14ac:dyDescent="0.25">
      <c r="A531" s="31" t="s">
        <v>1216</v>
      </c>
    </row>
    <row r="532" spans="1:1" ht="15" x14ac:dyDescent="0.25">
      <c r="A532" s="31" t="s">
        <v>1217</v>
      </c>
    </row>
    <row r="533" spans="1:1" ht="15" x14ac:dyDescent="0.25">
      <c r="A533" s="31" t="s">
        <v>1218</v>
      </c>
    </row>
    <row r="534" spans="1:1" ht="15" x14ac:dyDescent="0.25">
      <c r="A534" s="31" t="s">
        <v>1219</v>
      </c>
    </row>
    <row r="535" spans="1:1" ht="15" x14ac:dyDescent="0.25">
      <c r="A535" s="31" t="s">
        <v>1220</v>
      </c>
    </row>
    <row r="536" spans="1:1" ht="15" x14ac:dyDescent="0.25">
      <c r="A536" s="31" t="s">
        <v>1221</v>
      </c>
    </row>
    <row r="537" spans="1:1" ht="15" x14ac:dyDescent="0.25">
      <c r="A537" s="31" t="s">
        <v>1222</v>
      </c>
    </row>
    <row r="538" spans="1:1" ht="15" x14ac:dyDescent="0.25">
      <c r="A538" s="31" t="s">
        <v>1223</v>
      </c>
    </row>
    <row r="539" spans="1:1" ht="15" x14ac:dyDescent="0.25">
      <c r="A539" s="31" t="s">
        <v>1224</v>
      </c>
    </row>
    <row r="540" spans="1:1" ht="15" x14ac:dyDescent="0.25">
      <c r="A540" s="31" t="s">
        <v>1225</v>
      </c>
    </row>
    <row r="541" spans="1:1" ht="15" x14ac:dyDescent="0.25">
      <c r="A541" s="31" t="s">
        <v>1226</v>
      </c>
    </row>
    <row r="542" spans="1:1" ht="15" x14ac:dyDescent="0.25">
      <c r="A542" s="31" t="s">
        <v>1227</v>
      </c>
    </row>
    <row r="543" spans="1:1" ht="15" x14ac:dyDescent="0.25">
      <c r="A543" s="31" t="s">
        <v>1228</v>
      </c>
    </row>
    <row r="544" spans="1:1" ht="15" x14ac:dyDescent="0.25">
      <c r="A544" s="31" t="s">
        <v>1229</v>
      </c>
    </row>
    <row r="545" spans="1:1" ht="15" x14ac:dyDescent="0.25">
      <c r="A545" s="31" t="s">
        <v>1230</v>
      </c>
    </row>
    <row r="546" spans="1:1" ht="15" x14ac:dyDescent="0.25">
      <c r="A546" s="31" t="s">
        <v>1231</v>
      </c>
    </row>
    <row r="547" spans="1:1" ht="15" x14ac:dyDescent="0.25">
      <c r="A547" s="31" t="s">
        <v>1232</v>
      </c>
    </row>
    <row r="548" spans="1:1" ht="15" x14ac:dyDescent="0.25">
      <c r="A548" s="31" t="s">
        <v>1233</v>
      </c>
    </row>
    <row r="549" spans="1:1" ht="15" x14ac:dyDescent="0.25">
      <c r="A549" s="31" t="s">
        <v>1234</v>
      </c>
    </row>
    <row r="550" spans="1:1" ht="15" x14ac:dyDescent="0.25">
      <c r="A550" s="31" t="s">
        <v>1235</v>
      </c>
    </row>
    <row r="551" spans="1:1" ht="15" x14ac:dyDescent="0.25">
      <c r="A551" s="31" t="s">
        <v>1236</v>
      </c>
    </row>
    <row r="552" spans="1:1" ht="15" x14ac:dyDescent="0.25">
      <c r="A552" s="31" t="s">
        <v>1237</v>
      </c>
    </row>
    <row r="553" spans="1:1" ht="15" x14ac:dyDescent="0.25">
      <c r="A553" s="31" t="s">
        <v>1238</v>
      </c>
    </row>
    <row r="554" spans="1:1" ht="15" x14ac:dyDescent="0.25">
      <c r="A554" s="31" t="s">
        <v>1239</v>
      </c>
    </row>
    <row r="555" spans="1:1" ht="15" x14ac:dyDescent="0.25">
      <c r="A555" s="31" t="s">
        <v>1240</v>
      </c>
    </row>
    <row r="556" spans="1:1" ht="15" x14ac:dyDescent="0.25">
      <c r="A556" s="31" t="s">
        <v>1241</v>
      </c>
    </row>
    <row r="557" spans="1:1" ht="15" x14ac:dyDescent="0.25">
      <c r="A557" s="31" t="s">
        <v>1242</v>
      </c>
    </row>
    <row r="558" spans="1:1" ht="15" x14ac:dyDescent="0.25">
      <c r="A558" s="31" t="s">
        <v>1243</v>
      </c>
    </row>
    <row r="559" spans="1:1" ht="15" x14ac:dyDescent="0.25">
      <c r="A559" s="31" t="s">
        <v>1244</v>
      </c>
    </row>
    <row r="560" spans="1:1" ht="15" x14ac:dyDescent="0.25">
      <c r="A560" s="31" t="s">
        <v>1245</v>
      </c>
    </row>
    <row r="561" spans="1:1" ht="15" x14ac:dyDescent="0.25">
      <c r="A561" s="31" t="s">
        <v>1246</v>
      </c>
    </row>
    <row r="562" spans="1:1" ht="15" x14ac:dyDescent="0.25">
      <c r="A562" s="31" t="s">
        <v>1247</v>
      </c>
    </row>
    <row r="563" spans="1:1" ht="15" x14ac:dyDescent="0.25">
      <c r="A563" s="31" t="s">
        <v>1248</v>
      </c>
    </row>
    <row r="564" spans="1:1" ht="15" x14ac:dyDescent="0.25">
      <c r="A564" s="31" t="s">
        <v>1249</v>
      </c>
    </row>
    <row r="565" spans="1:1" ht="15" x14ac:dyDescent="0.25">
      <c r="A565" s="31" t="s">
        <v>1250</v>
      </c>
    </row>
    <row r="566" spans="1:1" ht="15" x14ac:dyDescent="0.25">
      <c r="A566" s="31" t="s">
        <v>1251</v>
      </c>
    </row>
    <row r="567" spans="1:1" ht="15" x14ac:dyDescent="0.25">
      <c r="A567" s="31" t="s">
        <v>1252</v>
      </c>
    </row>
    <row r="568" spans="1:1" ht="15" x14ac:dyDescent="0.25">
      <c r="A568" s="31" t="s">
        <v>1253</v>
      </c>
    </row>
    <row r="569" spans="1:1" ht="15" x14ac:dyDescent="0.25">
      <c r="A569" s="31" t="s">
        <v>1254</v>
      </c>
    </row>
    <row r="570" spans="1:1" ht="15" x14ac:dyDescent="0.25">
      <c r="A570" s="31" t="s">
        <v>1255</v>
      </c>
    </row>
    <row r="571" spans="1:1" ht="15" x14ac:dyDescent="0.25">
      <c r="A571" s="31" t="s">
        <v>1256</v>
      </c>
    </row>
    <row r="572" spans="1:1" ht="15" x14ac:dyDescent="0.25">
      <c r="A572" s="31" t="s">
        <v>1257</v>
      </c>
    </row>
    <row r="573" spans="1:1" ht="15" x14ac:dyDescent="0.25">
      <c r="A573" s="31" t="s">
        <v>1258</v>
      </c>
    </row>
    <row r="574" spans="1:1" ht="15" x14ac:dyDescent="0.25">
      <c r="A574" s="31" t="s">
        <v>1259</v>
      </c>
    </row>
    <row r="575" spans="1:1" ht="15" x14ac:dyDescent="0.25">
      <c r="A575" s="31" t="s">
        <v>1260</v>
      </c>
    </row>
    <row r="576" spans="1:1" ht="15" x14ac:dyDescent="0.25">
      <c r="A576" s="31" t="s">
        <v>1261</v>
      </c>
    </row>
    <row r="577" spans="1:1" ht="15" x14ac:dyDescent="0.25">
      <c r="A577" s="31" t="s">
        <v>1262</v>
      </c>
    </row>
    <row r="578" spans="1:1" ht="15" x14ac:dyDescent="0.25">
      <c r="A578" s="31" t="s">
        <v>1263</v>
      </c>
    </row>
    <row r="579" spans="1:1" ht="15" x14ac:dyDescent="0.25">
      <c r="A579" s="31" t="s">
        <v>1264</v>
      </c>
    </row>
    <row r="580" spans="1:1" ht="15" x14ac:dyDescent="0.25">
      <c r="A580" s="31" t="s">
        <v>1265</v>
      </c>
    </row>
    <row r="581" spans="1:1" ht="15" x14ac:dyDescent="0.25">
      <c r="A581" s="31" t="s">
        <v>1266</v>
      </c>
    </row>
    <row r="582" spans="1:1" ht="15" x14ac:dyDescent="0.25">
      <c r="A582" s="31" t="s">
        <v>1267</v>
      </c>
    </row>
    <row r="583" spans="1:1" ht="15" x14ac:dyDescent="0.25">
      <c r="A583" s="31" t="s">
        <v>1268</v>
      </c>
    </row>
    <row r="584" spans="1:1" ht="15" x14ac:dyDescent="0.25">
      <c r="A584" s="31" t="s">
        <v>1269</v>
      </c>
    </row>
    <row r="585" spans="1:1" ht="15" x14ac:dyDescent="0.25">
      <c r="A585" s="31" t="s">
        <v>1270</v>
      </c>
    </row>
    <row r="586" spans="1:1" ht="15" x14ac:dyDescent="0.25">
      <c r="A586" s="31" t="s">
        <v>1271</v>
      </c>
    </row>
    <row r="587" spans="1:1" ht="15" x14ac:dyDescent="0.25">
      <c r="A587" s="31" t="s">
        <v>1272</v>
      </c>
    </row>
    <row r="588" spans="1:1" ht="15" x14ac:dyDescent="0.25">
      <c r="A588" s="31" t="s">
        <v>1273</v>
      </c>
    </row>
    <row r="589" spans="1:1" ht="15" x14ac:dyDescent="0.25">
      <c r="A589" s="31" t="s">
        <v>1274</v>
      </c>
    </row>
    <row r="590" spans="1:1" ht="15" x14ac:dyDescent="0.25">
      <c r="A590" s="31" t="s">
        <v>1275</v>
      </c>
    </row>
    <row r="591" spans="1:1" ht="15" x14ac:dyDescent="0.25">
      <c r="A591" s="31" t="s">
        <v>1276</v>
      </c>
    </row>
    <row r="592" spans="1:1" ht="15" x14ac:dyDescent="0.25">
      <c r="A592" s="31" t="s">
        <v>1277</v>
      </c>
    </row>
    <row r="593" spans="1:1" ht="15" x14ac:dyDescent="0.25">
      <c r="A593" s="31" t="s">
        <v>1278</v>
      </c>
    </row>
    <row r="594" spans="1:1" ht="15" x14ac:dyDescent="0.25">
      <c r="A594" s="31" t="s">
        <v>1279</v>
      </c>
    </row>
    <row r="595" spans="1:1" ht="15" x14ac:dyDescent="0.25">
      <c r="A595" s="31" t="s">
        <v>1280</v>
      </c>
    </row>
    <row r="596" spans="1:1" ht="15" x14ac:dyDescent="0.25">
      <c r="A596" s="31" t="s">
        <v>1281</v>
      </c>
    </row>
    <row r="597" spans="1:1" ht="15" x14ac:dyDescent="0.25">
      <c r="A597" s="31" t="s">
        <v>1282</v>
      </c>
    </row>
    <row r="598" spans="1:1" ht="15" x14ac:dyDescent="0.25">
      <c r="A598" s="31" t="s">
        <v>1283</v>
      </c>
    </row>
    <row r="599" spans="1:1" ht="15" x14ac:dyDescent="0.25">
      <c r="A599" s="31" t="s">
        <v>1284</v>
      </c>
    </row>
    <row r="600" spans="1:1" ht="15" x14ac:dyDescent="0.25">
      <c r="A600" s="31" t="s">
        <v>1285</v>
      </c>
    </row>
    <row r="601" spans="1:1" ht="15" x14ac:dyDescent="0.25">
      <c r="A601" s="31" t="s">
        <v>1286</v>
      </c>
    </row>
    <row r="602" spans="1:1" ht="15" x14ac:dyDescent="0.25">
      <c r="A602" s="31" t="s">
        <v>1287</v>
      </c>
    </row>
    <row r="603" spans="1:1" ht="15" x14ac:dyDescent="0.25">
      <c r="A603" s="31" t="s">
        <v>1288</v>
      </c>
    </row>
    <row r="604" spans="1:1" ht="15" x14ac:dyDescent="0.25">
      <c r="A604" s="31" t="s">
        <v>1289</v>
      </c>
    </row>
    <row r="605" spans="1:1" ht="15" x14ac:dyDescent="0.25">
      <c r="A605" s="31" t="s">
        <v>1290</v>
      </c>
    </row>
    <row r="606" spans="1:1" ht="15" x14ac:dyDescent="0.25">
      <c r="A606" s="31" t="s">
        <v>1291</v>
      </c>
    </row>
    <row r="607" spans="1:1" ht="15" x14ac:dyDescent="0.25">
      <c r="A607" s="31" t="s">
        <v>1292</v>
      </c>
    </row>
    <row r="608" spans="1:1" ht="15" x14ac:dyDescent="0.25">
      <c r="A608" s="31" t="s">
        <v>1293</v>
      </c>
    </row>
    <row r="609" spans="1:1" ht="15" x14ac:dyDescent="0.25">
      <c r="A609" s="31" t="s">
        <v>1294</v>
      </c>
    </row>
    <row r="610" spans="1:1" ht="15" x14ac:dyDescent="0.25">
      <c r="A610" s="31" t="s">
        <v>1295</v>
      </c>
    </row>
    <row r="611" spans="1:1" ht="15" x14ac:dyDescent="0.25">
      <c r="A611" s="31" t="s">
        <v>1296</v>
      </c>
    </row>
    <row r="612" spans="1:1" ht="15" x14ac:dyDescent="0.25">
      <c r="A612" s="31" t="s">
        <v>1297</v>
      </c>
    </row>
    <row r="613" spans="1:1" ht="15" x14ac:dyDescent="0.25">
      <c r="A613" s="31" t="s">
        <v>1298</v>
      </c>
    </row>
    <row r="614" spans="1:1" ht="15" x14ac:dyDescent="0.25">
      <c r="A614" s="31" t="s">
        <v>1299</v>
      </c>
    </row>
    <row r="615" spans="1:1" ht="15" x14ac:dyDescent="0.25">
      <c r="A615" s="31" t="s">
        <v>1300</v>
      </c>
    </row>
    <row r="616" spans="1:1" ht="15" x14ac:dyDescent="0.25">
      <c r="A616" s="31" t="s">
        <v>1301</v>
      </c>
    </row>
    <row r="617" spans="1:1" ht="15" x14ac:dyDescent="0.25">
      <c r="A617" s="31" t="s">
        <v>1302</v>
      </c>
    </row>
    <row r="618" spans="1:1" ht="15" x14ac:dyDescent="0.25">
      <c r="A618" s="31" t="s">
        <v>1303</v>
      </c>
    </row>
    <row r="619" spans="1:1" ht="15" x14ac:dyDescent="0.25">
      <c r="A619" s="31" t="s">
        <v>1304</v>
      </c>
    </row>
    <row r="620" spans="1:1" ht="15" x14ac:dyDescent="0.25">
      <c r="A620" s="31" t="s">
        <v>1305</v>
      </c>
    </row>
    <row r="621" spans="1:1" ht="15" x14ac:dyDescent="0.25">
      <c r="A621" s="31" t="s">
        <v>1306</v>
      </c>
    </row>
    <row r="622" spans="1:1" ht="15" x14ac:dyDescent="0.25">
      <c r="A622" s="31" t="s">
        <v>1307</v>
      </c>
    </row>
    <row r="623" spans="1:1" ht="15" x14ac:dyDescent="0.25">
      <c r="A623" s="31" t="s">
        <v>1308</v>
      </c>
    </row>
    <row r="624" spans="1:1" ht="15" x14ac:dyDescent="0.25">
      <c r="A624" s="31" t="s">
        <v>1309</v>
      </c>
    </row>
    <row r="625" spans="1:1" ht="15" x14ac:dyDescent="0.25">
      <c r="A625" s="31" t="s">
        <v>1310</v>
      </c>
    </row>
    <row r="626" spans="1:1" ht="15" x14ac:dyDescent="0.25">
      <c r="A626" s="31" t="s">
        <v>1311</v>
      </c>
    </row>
    <row r="627" spans="1:1" ht="15" x14ac:dyDescent="0.25">
      <c r="A627" s="31" t="s">
        <v>1312</v>
      </c>
    </row>
    <row r="628" spans="1:1" ht="15" x14ac:dyDescent="0.25">
      <c r="A628" s="31" t="s">
        <v>1313</v>
      </c>
    </row>
    <row r="629" spans="1:1" ht="15" x14ac:dyDescent="0.25">
      <c r="A629" s="31" t="s">
        <v>1314</v>
      </c>
    </row>
    <row r="630" spans="1:1" ht="15" x14ac:dyDescent="0.25">
      <c r="A630" s="31" t="s">
        <v>1315</v>
      </c>
    </row>
    <row r="631" spans="1:1" ht="15" x14ac:dyDescent="0.25">
      <c r="A631" s="31" t="s">
        <v>1316</v>
      </c>
    </row>
    <row r="632" spans="1:1" ht="15" x14ac:dyDescent="0.25">
      <c r="A632" s="31" t="s">
        <v>1317</v>
      </c>
    </row>
    <row r="633" spans="1:1" ht="15" x14ac:dyDescent="0.25">
      <c r="A633" s="31" t="s">
        <v>1318</v>
      </c>
    </row>
    <row r="634" spans="1:1" ht="15" x14ac:dyDescent="0.25">
      <c r="A634" s="31" t="s">
        <v>1319</v>
      </c>
    </row>
    <row r="635" spans="1:1" ht="15" x14ac:dyDescent="0.25">
      <c r="A635" s="31" t="s">
        <v>1320</v>
      </c>
    </row>
    <row r="636" spans="1:1" ht="15" x14ac:dyDescent="0.25">
      <c r="A636" s="31" t="s">
        <v>1321</v>
      </c>
    </row>
    <row r="637" spans="1:1" ht="15" x14ac:dyDescent="0.25">
      <c r="A637" s="31" t="s">
        <v>1322</v>
      </c>
    </row>
    <row r="638" spans="1:1" ht="15" x14ac:dyDescent="0.25">
      <c r="A638" s="31" t="s">
        <v>1323</v>
      </c>
    </row>
    <row r="639" spans="1:1" ht="15" x14ac:dyDescent="0.25">
      <c r="A639" s="31" t="s">
        <v>1324</v>
      </c>
    </row>
    <row r="640" spans="1:1" ht="15" x14ac:dyDescent="0.25">
      <c r="A640" s="31" t="s">
        <v>1325</v>
      </c>
    </row>
    <row r="641" spans="1:1" ht="15" x14ac:dyDescent="0.25">
      <c r="A641" s="31" t="s">
        <v>1326</v>
      </c>
    </row>
    <row r="642" spans="1:1" ht="15" x14ac:dyDescent="0.25">
      <c r="A642" s="31" t="s">
        <v>1327</v>
      </c>
    </row>
    <row r="643" spans="1:1" ht="15" x14ac:dyDescent="0.25">
      <c r="A643" s="31" t="s">
        <v>1328</v>
      </c>
    </row>
    <row r="644" spans="1:1" ht="15" x14ac:dyDescent="0.25">
      <c r="A644" s="31" t="s">
        <v>1329</v>
      </c>
    </row>
    <row r="645" spans="1:1" ht="15" x14ac:dyDescent="0.25">
      <c r="A645" s="31" t="s">
        <v>1330</v>
      </c>
    </row>
    <row r="646" spans="1:1" ht="15" x14ac:dyDescent="0.25">
      <c r="A646" s="31" t="s">
        <v>1331</v>
      </c>
    </row>
    <row r="647" spans="1:1" ht="15" x14ac:dyDescent="0.25">
      <c r="A647" s="31" t="s">
        <v>1332</v>
      </c>
    </row>
    <row r="648" spans="1:1" ht="15" x14ac:dyDescent="0.25">
      <c r="A648" s="31" t="s">
        <v>1333</v>
      </c>
    </row>
    <row r="649" spans="1:1" ht="15" x14ac:dyDescent="0.25">
      <c r="A649" s="31" t="s">
        <v>1334</v>
      </c>
    </row>
    <row r="650" spans="1:1" ht="15" x14ac:dyDescent="0.25">
      <c r="A650" s="31" t="s">
        <v>1335</v>
      </c>
    </row>
    <row r="651" spans="1:1" ht="15" x14ac:dyDescent="0.25">
      <c r="A651" s="31" t="s">
        <v>1336</v>
      </c>
    </row>
    <row r="652" spans="1:1" ht="15" x14ac:dyDescent="0.25">
      <c r="A652" s="31" t="s">
        <v>1337</v>
      </c>
    </row>
    <row r="653" spans="1:1" ht="15" x14ac:dyDescent="0.25">
      <c r="A653" s="31" t="s">
        <v>1338</v>
      </c>
    </row>
    <row r="654" spans="1:1" ht="15" x14ac:dyDescent="0.25">
      <c r="A654" s="31" t="s">
        <v>1339</v>
      </c>
    </row>
    <row r="655" spans="1:1" ht="15" x14ac:dyDescent="0.25">
      <c r="A655" s="31" t="s">
        <v>1340</v>
      </c>
    </row>
    <row r="656" spans="1:1" ht="15" x14ac:dyDescent="0.25">
      <c r="A656" s="31" t="s">
        <v>1341</v>
      </c>
    </row>
    <row r="657" spans="1:1" ht="15" x14ac:dyDescent="0.25">
      <c r="A657" s="31" t="s">
        <v>1342</v>
      </c>
    </row>
    <row r="658" spans="1:1" ht="15" x14ac:dyDescent="0.25">
      <c r="A658" s="31" t="s">
        <v>1343</v>
      </c>
    </row>
    <row r="659" spans="1:1" ht="15" x14ac:dyDescent="0.25">
      <c r="A659" s="31" t="s">
        <v>1344</v>
      </c>
    </row>
    <row r="660" spans="1:1" ht="15" x14ac:dyDescent="0.25">
      <c r="A660" s="31" t="s">
        <v>1345</v>
      </c>
    </row>
    <row r="661" spans="1:1" ht="15" x14ac:dyDescent="0.25">
      <c r="A661" s="31" t="s">
        <v>1346</v>
      </c>
    </row>
    <row r="662" spans="1:1" ht="15" x14ac:dyDescent="0.25">
      <c r="A662" s="31" t="s">
        <v>1347</v>
      </c>
    </row>
    <row r="663" spans="1:1" ht="15" x14ac:dyDescent="0.25">
      <c r="A663" s="31" t="s">
        <v>1348</v>
      </c>
    </row>
    <row r="664" spans="1:1" ht="15" x14ac:dyDescent="0.25">
      <c r="A664" s="31" t="s">
        <v>1349</v>
      </c>
    </row>
    <row r="665" spans="1:1" ht="15" x14ac:dyDescent="0.25">
      <c r="A665" s="31" t="s">
        <v>1350</v>
      </c>
    </row>
    <row r="666" spans="1:1" ht="15" x14ac:dyDescent="0.25">
      <c r="A666" s="31" t="s">
        <v>1351</v>
      </c>
    </row>
    <row r="667" spans="1:1" ht="15" x14ac:dyDescent="0.25">
      <c r="A667" s="31" t="s">
        <v>1352</v>
      </c>
    </row>
    <row r="668" spans="1:1" ht="15" x14ac:dyDescent="0.25">
      <c r="A668" s="31" t="s">
        <v>1353</v>
      </c>
    </row>
    <row r="669" spans="1:1" ht="15" x14ac:dyDescent="0.25">
      <c r="A669" s="31" t="s">
        <v>1354</v>
      </c>
    </row>
    <row r="670" spans="1:1" ht="15" x14ac:dyDescent="0.25">
      <c r="A670" s="31" t="s">
        <v>1355</v>
      </c>
    </row>
    <row r="671" spans="1:1" ht="15" x14ac:dyDescent="0.25">
      <c r="A671" s="31" t="s">
        <v>1356</v>
      </c>
    </row>
    <row r="672" spans="1:1" ht="15" x14ac:dyDescent="0.25">
      <c r="A672" s="31" t="s">
        <v>1357</v>
      </c>
    </row>
    <row r="673" spans="1:1" ht="15" x14ac:dyDescent="0.25">
      <c r="A673" s="31" t="s">
        <v>1358</v>
      </c>
    </row>
    <row r="674" spans="1:1" ht="15" x14ac:dyDescent="0.25">
      <c r="A674" s="31" t="s">
        <v>1359</v>
      </c>
    </row>
    <row r="675" spans="1:1" ht="15" x14ac:dyDescent="0.25">
      <c r="A675" s="31" t="s">
        <v>1360</v>
      </c>
    </row>
    <row r="676" spans="1:1" ht="15" x14ac:dyDescent="0.25">
      <c r="A676" s="31" t="s">
        <v>1361</v>
      </c>
    </row>
    <row r="677" spans="1:1" ht="15" x14ac:dyDescent="0.25">
      <c r="A677" s="31" t="s">
        <v>1362</v>
      </c>
    </row>
    <row r="678" spans="1:1" ht="15" x14ac:dyDescent="0.25">
      <c r="A678" s="31" t="s">
        <v>1363</v>
      </c>
    </row>
    <row r="679" spans="1:1" ht="15" x14ac:dyDescent="0.25">
      <c r="A679" s="31" t="s">
        <v>1364</v>
      </c>
    </row>
    <row r="680" spans="1:1" ht="15" x14ac:dyDescent="0.25">
      <c r="A680" s="31" t="s">
        <v>1365</v>
      </c>
    </row>
    <row r="681" spans="1:1" ht="15" x14ac:dyDescent="0.25">
      <c r="A681" s="31" t="s">
        <v>1366</v>
      </c>
    </row>
    <row r="682" spans="1:1" ht="15" x14ac:dyDescent="0.25">
      <c r="A682" s="31" t="s">
        <v>1367</v>
      </c>
    </row>
    <row r="683" spans="1:1" ht="15" x14ac:dyDescent="0.25">
      <c r="A683" s="31" t="s">
        <v>1368</v>
      </c>
    </row>
    <row r="684" spans="1:1" ht="15" x14ac:dyDescent="0.25">
      <c r="A684" s="31" t="s">
        <v>1369</v>
      </c>
    </row>
    <row r="685" spans="1:1" ht="15" x14ac:dyDescent="0.25">
      <c r="A685" s="31" t="s">
        <v>1370</v>
      </c>
    </row>
    <row r="686" spans="1:1" ht="15" x14ac:dyDescent="0.25">
      <c r="A686" s="31" t="s">
        <v>1371</v>
      </c>
    </row>
    <row r="687" spans="1:1" ht="15" x14ac:dyDescent="0.25">
      <c r="A687" s="31" t="s">
        <v>1372</v>
      </c>
    </row>
    <row r="688" spans="1:1" ht="15" x14ac:dyDescent="0.25">
      <c r="A688" s="31" t="s">
        <v>1373</v>
      </c>
    </row>
    <row r="689" spans="1:1" ht="15" x14ac:dyDescent="0.25">
      <c r="A689" s="31" t="s">
        <v>1374</v>
      </c>
    </row>
    <row r="690" spans="1:1" ht="15" x14ac:dyDescent="0.25">
      <c r="A690" s="31" t="s">
        <v>1375</v>
      </c>
    </row>
    <row r="691" spans="1:1" ht="15" x14ac:dyDescent="0.25">
      <c r="A691" s="31" t="s">
        <v>1376</v>
      </c>
    </row>
    <row r="692" spans="1:1" ht="15" x14ac:dyDescent="0.25">
      <c r="A692" s="31" t="s">
        <v>1377</v>
      </c>
    </row>
    <row r="693" spans="1:1" ht="15" x14ac:dyDescent="0.25">
      <c r="A693" s="31" t="s">
        <v>1378</v>
      </c>
    </row>
    <row r="694" spans="1:1" ht="15" x14ac:dyDescent="0.25">
      <c r="A694" s="31" t="s">
        <v>1379</v>
      </c>
    </row>
    <row r="695" spans="1:1" ht="15" x14ac:dyDescent="0.25">
      <c r="A695" s="31" t="s">
        <v>1380</v>
      </c>
    </row>
    <row r="696" spans="1:1" ht="15" x14ac:dyDescent="0.25">
      <c r="A696" s="31" t="s">
        <v>1381</v>
      </c>
    </row>
    <row r="697" spans="1:1" ht="15" x14ac:dyDescent="0.25">
      <c r="A697" s="31" t="s">
        <v>1382</v>
      </c>
    </row>
    <row r="698" spans="1:1" ht="15" x14ac:dyDescent="0.25">
      <c r="A698" s="31" t="s">
        <v>1383</v>
      </c>
    </row>
    <row r="699" spans="1:1" ht="15" x14ac:dyDescent="0.25">
      <c r="A699" s="31" t="s">
        <v>1384</v>
      </c>
    </row>
    <row r="700" spans="1:1" ht="15" x14ac:dyDescent="0.25">
      <c r="A700" s="31" t="s">
        <v>1385</v>
      </c>
    </row>
    <row r="701" spans="1:1" ht="15" x14ac:dyDescent="0.25">
      <c r="A701" s="31" t="s">
        <v>1386</v>
      </c>
    </row>
    <row r="702" spans="1:1" ht="15" x14ac:dyDescent="0.25">
      <c r="A702" s="31" t="s">
        <v>1387</v>
      </c>
    </row>
    <row r="703" spans="1:1" ht="15" x14ac:dyDescent="0.25">
      <c r="A703" s="31" t="s">
        <v>1388</v>
      </c>
    </row>
    <row r="704" spans="1:1" ht="15" x14ac:dyDescent="0.25">
      <c r="A704" s="31" t="s">
        <v>1389</v>
      </c>
    </row>
    <row r="705" spans="1:1" ht="15" x14ac:dyDescent="0.25">
      <c r="A705" s="31" t="s">
        <v>1390</v>
      </c>
    </row>
    <row r="706" spans="1:1" ht="15" x14ac:dyDescent="0.25">
      <c r="A706" s="31" t="s">
        <v>1391</v>
      </c>
    </row>
    <row r="707" spans="1:1" ht="15" x14ac:dyDescent="0.25">
      <c r="A707" s="31" t="s">
        <v>1392</v>
      </c>
    </row>
    <row r="708" spans="1:1" ht="15" x14ac:dyDescent="0.25">
      <c r="A708" s="31" t="s">
        <v>1393</v>
      </c>
    </row>
    <row r="709" spans="1:1" ht="15" x14ac:dyDescent="0.25">
      <c r="A709" s="31" t="s">
        <v>1394</v>
      </c>
    </row>
    <row r="710" spans="1:1" ht="15" x14ac:dyDescent="0.25">
      <c r="A710" s="31" t="s">
        <v>1395</v>
      </c>
    </row>
    <row r="711" spans="1:1" ht="15" x14ac:dyDescent="0.25">
      <c r="A711" s="31" t="s">
        <v>1396</v>
      </c>
    </row>
    <row r="712" spans="1:1" ht="15" x14ac:dyDescent="0.25">
      <c r="A712" s="31" t="s">
        <v>1397</v>
      </c>
    </row>
    <row r="713" spans="1:1" ht="15" x14ac:dyDescent="0.25">
      <c r="A713" s="31" t="s">
        <v>1398</v>
      </c>
    </row>
    <row r="714" spans="1:1" ht="15" x14ac:dyDescent="0.25">
      <c r="A714" s="31" t="s">
        <v>1399</v>
      </c>
    </row>
    <row r="715" spans="1:1" ht="15" x14ac:dyDescent="0.25">
      <c r="A715" s="31" t="s">
        <v>1400</v>
      </c>
    </row>
    <row r="716" spans="1:1" ht="15" x14ac:dyDescent="0.25">
      <c r="A716" s="31" t="s">
        <v>1401</v>
      </c>
    </row>
    <row r="717" spans="1:1" ht="15" x14ac:dyDescent="0.25">
      <c r="A717" s="31" t="s">
        <v>1402</v>
      </c>
    </row>
    <row r="718" spans="1:1" ht="15" x14ac:dyDescent="0.25">
      <c r="A718" s="31" t="s">
        <v>1403</v>
      </c>
    </row>
    <row r="719" spans="1:1" ht="15" x14ac:dyDescent="0.25">
      <c r="A719" s="31" t="s">
        <v>1404</v>
      </c>
    </row>
    <row r="720" spans="1:1" ht="15" x14ac:dyDescent="0.25">
      <c r="A720" s="31" t="s">
        <v>1405</v>
      </c>
    </row>
    <row r="721" spans="1:1" ht="15" x14ac:dyDescent="0.25">
      <c r="A721" s="31" t="s">
        <v>1406</v>
      </c>
    </row>
    <row r="722" spans="1:1" ht="15" x14ac:dyDescent="0.25">
      <c r="A722" s="31" t="s">
        <v>1407</v>
      </c>
    </row>
    <row r="723" spans="1:1" ht="15" x14ac:dyDescent="0.25">
      <c r="A723" s="31" t="s">
        <v>1408</v>
      </c>
    </row>
    <row r="724" spans="1:1" ht="15" x14ac:dyDescent="0.25">
      <c r="A724" s="31" t="s">
        <v>1409</v>
      </c>
    </row>
    <row r="725" spans="1:1" ht="15" x14ac:dyDescent="0.25">
      <c r="A725" s="31" t="s">
        <v>1410</v>
      </c>
    </row>
    <row r="726" spans="1:1" ht="15" x14ac:dyDescent="0.25">
      <c r="A726" s="31" t="s">
        <v>1411</v>
      </c>
    </row>
    <row r="727" spans="1:1" ht="15" x14ac:dyDescent="0.25">
      <c r="A727" s="31" t="s">
        <v>1412</v>
      </c>
    </row>
    <row r="728" spans="1:1" ht="15" x14ac:dyDescent="0.25">
      <c r="A728" s="31" t="s">
        <v>1413</v>
      </c>
    </row>
    <row r="729" spans="1:1" ht="15" x14ac:dyDescent="0.25">
      <c r="A729" s="31" t="s">
        <v>1414</v>
      </c>
    </row>
    <row r="730" spans="1:1" ht="15" x14ac:dyDescent="0.25">
      <c r="A730" s="31" t="s">
        <v>1415</v>
      </c>
    </row>
    <row r="731" spans="1:1" ht="15" x14ac:dyDescent="0.25">
      <c r="A731" s="31" t="s">
        <v>1416</v>
      </c>
    </row>
    <row r="732" spans="1:1" ht="15" x14ac:dyDescent="0.25">
      <c r="A732" s="31" t="s">
        <v>1417</v>
      </c>
    </row>
    <row r="733" spans="1:1" ht="15" x14ac:dyDescent="0.25">
      <c r="A733" s="31" t="s">
        <v>1418</v>
      </c>
    </row>
    <row r="734" spans="1:1" ht="15" x14ac:dyDescent="0.25">
      <c r="A734" s="31" t="s">
        <v>1419</v>
      </c>
    </row>
    <row r="735" spans="1:1" ht="15" x14ac:dyDescent="0.25">
      <c r="A735" s="31" t="s">
        <v>1420</v>
      </c>
    </row>
    <row r="736" spans="1:1" ht="15" x14ac:dyDescent="0.25">
      <c r="A736" s="31" t="s">
        <v>1421</v>
      </c>
    </row>
    <row r="737" spans="1:1" ht="15" x14ac:dyDescent="0.25">
      <c r="A737" s="31" t="s">
        <v>1422</v>
      </c>
    </row>
    <row r="738" spans="1:1" ht="15" x14ac:dyDescent="0.25">
      <c r="A738" s="31" t="s">
        <v>1423</v>
      </c>
    </row>
    <row r="739" spans="1:1" ht="15" x14ac:dyDescent="0.25">
      <c r="A739" s="31" t="s">
        <v>1424</v>
      </c>
    </row>
    <row r="740" spans="1:1" ht="15" x14ac:dyDescent="0.25">
      <c r="A740" s="31" t="s">
        <v>1425</v>
      </c>
    </row>
    <row r="741" spans="1:1" ht="15" x14ac:dyDescent="0.25">
      <c r="A741" s="31" t="s">
        <v>1426</v>
      </c>
    </row>
    <row r="742" spans="1:1" ht="15" x14ac:dyDescent="0.25">
      <c r="A742" s="31" t="s">
        <v>1427</v>
      </c>
    </row>
    <row r="743" spans="1:1" ht="15" x14ac:dyDescent="0.25">
      <c r="A743" s="31" t="s">
        <v>1428</v>
      </c>
    </row>
    <row r="744" spans="1:1" ht="15" x14ac:dyDescent="0.25">
      <c r="A744" s="31" t="s">
        <v>1429</v>
      </c>
    </row>
    <row r="745" spans="1:1" ht="15" x14ac:dyDescent="0.25">
      <c r="A745" s="31" t="s">
        <v>1430</v>
      </c>
    </row>
    <row r="746" spans="1:1" ht="15" x14ac:dyDescent="0.25">
      <c r="A746" s="31" t="s">
        <v>1431</v>
      </c>
    </row>
    <row r="747" spans="1:1" ht="15" x14ac:dyDescent="0.25">
      <c r="A747" s="31" t="s">
        <v>1432</v>
      </c>
    </row>
    <row r="748" spans="1:1" ht="15" x14ac:dyDescent="0.25">
      <c r="A748" s="31" t="s">
        <v>1433</v>
      </c>
    </row>
    <row r="749" spans="1:1" ht="15" x14ac:dyDescent="0.25">
      <c r="A749" s="31" t="s">
        <v>1434</v>
      </c>
    </row>
    <row r="750" spans="1:1" ht="15" x14ac:dyDescent="0.25">
      <c r="A750" s="31" t="s">
        <v>1435</v>
      </c>
    </row>
    <row r="751" spans="1:1" ht="15" x14ac:dyDescent="0.25">
      <c r="A751" s="31" t="s">
        <v>1436</v>
      </c>
    </row>
    <row r="752" spans="1:1" ht="15" x14ac:dyDescent="0.25">
      <c r="A752" s="31" t="s">
        <v>1437</v>
      </c>
    </row>
    <row r="753" spans="1:1" ht="15" x14ac:dyDescent="0.25">
      <c r="A753" s="31" t="s">
        <v>1438</v>
      </c>
    </row>
    <row r="754" spans="1:1" ht="15" x14ac:dyDescent="0.25">
      <c r="A754" s="31" t="s">
        <v>1439</v>
      </c>
    </row>
    <row r="755" spans="1:1" ht="15" x14ac:dyDescent="0.25">
      <c r="A755" s="31" t="s">
        <v>1440</v>
      </c>
    </row>
    <row r="756" spans="1:1" ht="15" x14ac:dyDescent="0.25">
      <c r="A756" s="31" t="s">
        <v>1441</v>
      </c>
    </row>
    <row r="757" spans="1:1" ht="15" x14ac:dyDescent="0.25">
      <c r="A757" s="31" t="s">
        <v>1442</v>
      </c>
    </row>
    <row r="758" spans="1:1" ht="15" x14ac:dyDescent="0.25">
      <c r="A758" s="31" t="s">
        <v>1443</v>
      </c>
    </row>
    <row r="759" spans="1:1" ht="15" x14ac:dyDescent="0.25">
      <c r="A759" s="31" t="s">
        <v>1444</v>
      </c>
    </row>
    <row r="760" spans="1:1" ht="15" x14ac:dyDescent="0.25">
      <c r="A760" s="31" t="s">
        <v>1445</v>
      </c>
    </row>
    <row r="761" spans="1:1" ht="15" x14ac:dyDescent="0.25">
      <c r="A761" s="31" t="s">
        <v>1446</v>
      </c>
    </row>
    <row r="762" spans="1:1" ht="15" x14ac:dyDescent="0.25">
      <c r="A762" s="31" t="s">
        <v>1447</v>
      </c>
    </row>
    <row r="763" spans="1:1" ht="15" x14ac:dyDescent="0.25">
      <c r="A763" s="31" t="s">
        <v>1448</v>
      </c>
    </row>
    <row r="764" spans="1:1" ht="15" x14ac:dyDescent="0.25">
      <c r="A764" s="31" t="s">
        <v>1449</v>
      </c>
    </row>
    <row r="765" spans="1:1" ht="15" x14ac:dyDescent="0.25">
      <c r="A765" s="31" t="s">
        <v>1450</v>
      </c>
    </row>
    <row r="766" spans="1:1" ht="15" x14ac:dyDescent="0.25">
      <c r="A766" s="31" t="s">
        <v>1451</v>
      </c>
    </row>
    <row r="767" spans="1:1" ht="15" x14ac:dyDescent="0.25">
      <c r="A767" s="31" t="s">
        <v>1452</v>
      </c>
    </row>
    <row r="768" spans="1:1" ht="15" x14ac:dyDescent="0.25">
      <c r="A768" s="31" t="s">
        <v>1453</v>
      </c>
    </row>
    <row r="769" spans="1:1" ht="15" x14ac:dyDescent="0.25">
      <c r="A769" s="31" t="s">
        <v>1454</v>
      </c>
    </row>
    <row r="770" spans="1:1" ht="15" x14ac:dyDescent="0.25">
      <c r="A770" s="31" t="s">
        <v>1455</v>
      </c>
    </row>
    <row r="771" spans="1:1" ht="15" x14ac:dyDescent="0.25">
      <c r="A771" s="31" t="s">
        <v>1456</v>
      </c>
    </row>
    <row r="772" spans="1:1" ht="15" x14ac:dyDescent="0.25">
      <c r="A772" s="31" t="s">
        <v>1457</v>
      </c>
    </row>
    <row r="773" spans="1:1" ht="15" x14ac:dyDescent="0.25">
      <c r="A773" s="31" t="s">
        <v>1458</v>
      </c>
    </row>
    <row r="774" spans="1:1" ht="15" x14ac:dyDescent="0.25">
      <c r="A774" s="31" t="s">
        <v>1459</v>
      </c>
    </row>
    <row r="775" spans="1:1" ht="15" x14ac:dyDescent="0.25">
      <c r="A775" s="31" t="s">
        <v>1460</v>
      </c>
    </row>
    <row r="776" spans="1:1" ht="15" x14ac:dyDescent="0.25">
      <c r="A776" s="31" t="s">
        <v>1461</v>
      </c>
    </row>
    <row r="777" spans="1:1" ht="15" x14ac:dyDescent="0.25">
      <c r="A777" s="31" t="s">
        <v>1462</v>
      </c>
    </row>
    <row r="778" spans="1:1" ht="15" x14ac:dyDescent="0.25">
      <c r="A778" s="31" t="s">
        <v>1463</v>
      </c>
    </row>
    <row r="779" spans="1:1" ht="15" x14ac:dyDescent="0.25">
      <c r="A779" s="31" t="s">
        <v>1464</v>
      </c>
    </row>
    <row r="780" spans="1:1" ht="15" x14ac:dyDescent="0.25">
      <c r="A780" s="31" t="s">
        <v>1465</v>
      </c>
    </row>
    <row r="781" spans="1:1" ht="15" x14ac:dyDescent="0.25">
      <c r="A781" s="31" t="s">
        <v>1466</v>
      </c>
    </row>
    <row r="782" spans="1:1" ht="15" x14ac:dyDescent="0.25">
      <c r="A782" s="31" t="s">
        <v>1467</v>
      </c>
    </row>
    <row r="783" spans="1:1" ht="15" x14ac:dyDescent="0.25">
      <c r="A783" s="31" t="s">
        <v>1468</v>
      </c>
    </row>
    <row r="784" spans="1:1" ht="15" x14ac:dyDescent="0.25">
      <c r="A784" s="31" t="s">
        <v>1469</v>
      </c>
    </row>
    <row r="785" spans="1:1" ht="15" x14ac:dyDescent="0.25">
      <c r="A785" s="31" t="s">
        <v>1470</v>
      </c>
    </row>
    <row r="786" spans="1:1" ht="15" x14ac:dyDescent="0.25">
      <c r="A786" s="31" t="s">
        <v>1471</v>
      </c>
    </row>
    <row r="787" spans="1:1" ht="15" x14ac:dyDescent="0.25">
      <c r="A787" s="31" t="s">
        <v>1472</v>
      </c>
    </row>
    <row r="788" spans="1:1" ht="15" x14ac:dyDescent="0.25">
      <c r="A788" s="31" t="s">
        <v>1473</v>
      </c>
    </row>
    <row r="789" spans="1:1" ht="15" x14ac:dyDescent="0.25">
      <c r="A789" s="31" t="s">
        <v>1474</v>
      </c>
    </row>
    <row r="790" spans="1:1" ht="15" x14ac:dyDescent="0.25">
      <c r="A790" s="31" t="s">
        <v>1475</v>
      </c>
    </row>
    <row r="791" spans="1:1" ht="15" x14ac:dyDescent="0.25">
      <c r="A791" s="31" t="s">
        <v>1476</v>
      </c>
    </row>
    <row r="792" spans="1:1" ht="15" x14ac:dyDescent="0.25">
      <c r="A792" s="31" t="s">
        <v>1477</v>
      </c>
    </row>
    <row r="793" spans="1:1" ht="15" x14ac:dyDescent="0.25">
      <c r="A793" s="31" t="s">
        <v>1478</v>
      </c>
    </row>
    <row r="794" spans="1:1" ht="15" x14ac:dyDescent="0.25">
      <c r="A794" s="31" t="s">
        <v>1479</v>
      </c>
    </row>
    <row r="795" spans="1:1" ht="15" x14ac:dyDescent="0.25">
      <c r="A795" s="31" t="s">
        <v>1480</v>
      </c>
    </row>
    <row r="796" spans="1:1" ht="15" x14ac:dyDescent="0.25">
      <c r="A796" s="31" t="s">
        <v>1481</v>
      </c>
    </row>
    <row r="797" spans="1:1" ht="15" x14ac:dyDescent="0.25">
      <c r="A797" s="31" t="s">
        <v>1482</v>
      </c>
    </row>
    <row r="798" spans="1:1" ht="15" x14ac:dyDescent="0.25">
      <c r="A798" s="31" t="s">
        <v>1483</v>
      </c>
    </row>
    <row r="799" spans="1:1" ht="15" x14ac:dyDescent="0.25">
      <c r="A799" s="31" t="s">
        <v>1484</v>
      </c>
    </row>
    <row r="800" spans="1:1" ht="15" x14ac:dyDescent="0.25">
      <c r="A800" s="31" t="s">
        <v>1485</v>
      </c>
    </row>
    <row r="801" spans="1:1" ht="15" x14ac:dyDescent="0.25">
      <c r="A801" s="31" t="s">
        <v>1486</v>
      </c>
    </row>
    <row r="802" spans="1:1" ht="15" x14ac:dyDescent="0.25">
      <c r="A802" s="31" t="s">
        <v>1487</v>
      </c>
    </row>
    <row r="803" spans="1:1" ht="15" x14ac:dyDescent="0.25">
      <c r="A803" s="31" t="s">
        <v>1488</v>
      </c>
    </row>
    <row r="804" spans="1:1" ht="15" x14ac:dyDescent="0.25">
      <c r="A804" s="31" t="s">
        <v>1489</v>
      </c>
    </row>
    <row r="805" spans="1:1" ht="15" x14ac:dyDescent="0.25">
      <c r="A805" s="31" t="s">
        <v>1490</v>
      </c>
    </row>
    <row r="806" spans="1:1" ht="15" x14ac:dyDescent="0.25">
      <c r="A806" s="31" t="s">
        <v>1491</v>
      </c>
    </row>
    <row r="807" spans="1:1" ht="15" x14ac:dyDescent="0.25">
      <c r="A807" s="31" t="s">
        <v>1492</v>
      </c>
    </row>
    <row r="808" spans="1:1" ht="15" x14ac:dyDescent="0.25">
      <c r="A808" s="31" t="s">
        <v>1493</v>
      </c>
    </row>
    <row r="809" spans="1:1" ht="15" x14ac:dyDescent="0.25">
      <c r="A809" s="31" t="s">
        <v>1494</v>
      </c>
    </row>
    <row r="810" spans="1:1" ht="15" x14ac:dyDescent="0.25">
      <c r="A810" s="31" t="s">
        <v>1495</v>
      </c>
    </row>
    <row r="811" spans="1:1" ht="15" x14ac:dyDescent="0.25">
      <c r="A811" s="31" t="s">
        <v>1496</v>
      </c>
    </row>
    <row r="812" spans="1:1" ht="15" x14ac:dyDescent="0.25">
      <c r="A812" s="31" t="s">
        <v>1497</v>
      </c>
    </row>
    <row r="813" spans="1:1" ht="15" x14ac:dyDescent="0.25">
      <c r="A813" s="31" t="s">
        <v>1498</v>
      </c>
    </row>
    <row r="814" spans="1:1" ht="15" x14ac:dyDescent="0.25">
      <c r="A814" s="31" t="s">
        <v>1499</v>
      </c>
    </row>
    <row r="815" spans="1:1" ht="15" x14ac:dyDescent="0.25">
      <c r="A815" s="31" t="s">
        <v>1500</v>
      </c>
    </row>
    <row r="816" spans="1:1" ht="15" x14ac:dyDescent="0.25">
      <c r="A816" s="31" t="s">
        <v>1501</v>
      </c>
    </row>
    <row r="817" spans="1:1" ht="15" x14ac:dyDescent="0.25">
      <c r="A817" s="31" t="s">
        <v>1502</v>
      </c>
    </row>
    <row r="818" spans="1:1" ht="15" x14ac:dyDescent="0.25">
      <c r="A818" s="31" t="s">
        <v>1503</v>
      </c>
    </row>
    <row r="819" spans="1:1" ht="15" x14ac:dyDescent="0.25">
      <c r="A819" s="31" t="s">
        <v>1504</v>
      </c>
    </row>
    <row r="820" spans="1:1" ht="15" x14ac:dyDescent="0.25">
      <c r="A820" s="31" t="s">
        <v>1505</v>
      </c>
    </row>
    <row r="821" spans="1:1" ht="15" x14ac:dyDescent="0.25">
      <c r="A821" s="31" t="s">
        <v>1506</v>
      </c>
    </row>
    <row r="822" spans="1:1" ht="15" x14ac:dyDescent="0.25">
      <c r="A822" s="31" t="s">
        <v>1507</v>
      </c>
    </row>
    <row r="823" spans="1:1" ht="15" x14ac:dyDescent="0.25">
      <c r="A823" s="31" t="s">
        <v>1508</v>
      </c>
    </row>
    <row r="824" spans="1:1" ht="15" x14ac:dyDescent="0.25">
      <c r="A824" s="31" t="s">
        <v>1509</v>
      </c>
    </row>
    <row r="825" spans="1:1" ht="15" x14ac:dyDescent="0.25">
      <c r="A825" s="31" t="s">
        <v>1510</v>
      </c>
    </row>
    <row r="826" spans="1:1" ht="15" x14ac:dyDescent="0.25">
      <c r="A826" s="31" t="s">
        <v>1511</v>
      </c>
    </row>
    <row r="827" spans="1:1" ht="15" x14ac:dyDescent="0.25">
      <c r="A827" s="31" t="s">
        <v>1512</v>
      </c>
    </row>
    <row r="828" spans="1:1" ht="15" x14ac:dyDescent="0.25">
      <c r="A828" s="31" t="s">
        <v>1513</v>
      </c>
    </row>
    <row r="829" spans="1:1" ht="15" x14ac:dyDescent="0.25">
      <c r="A829" s="31" t="s">
        <v>1514</v>
      </c>
    </row>
    <row r="830" spans="1:1" ht="15" x14ac:dyDescent="0.25">
      <c r="A830" s="31" t="s">
        <v>1515</v>
      </c>
    </row>
    <row r="831" spans="1:1" ht="15" x14ac:dyDescent="0.25">
      <c r="A831" s="31" t="s">
        <v>1516</v>
      </c>
    </row>
    <row r="832" spans="1:1" ht="15" x14ac:dyDescent="0.25">
      <c r="A832" s="31" t="s">
        <v>1517</v>
      </c>
    </row>
    <row r="833" spans="1:1" ht="15" x14ac:dyDescent="0.25">
      <c r="A833" s="31" t="s">
        <v>1518</v>
      </c>
    </row>
    <row r="834" spans="1:1" ht="15" x14ac:dyDescent="0.25">
      <c r="A834" s="31" t="s">
        <v>1519</v>
      </c>
    </row>
    <row r="835" spans="1:1" ht="15" x14ac:dyDescent="0.25">
      <c r="A835" s="31" t="s">
        <v>1520</v>
      </c>
    </row>
    <row r="836" spans="1:1" ht="15" x14ac:dyDescent="0.25">
      <c r="A836" s="31" t="s">
        <v>1521</v>
      </c>
    </row>
    <row r="837" spans="1:1" ht="15" x14ac:dyDescent="0.25">
      <c r="A837" s="31" t="s">
        <v>1522</v>
      </c>
    </row>
    <row r="838" spans="1:1" ht="15" x14ac:dyDescent="0.25">
      <c r="A838" s="31" t="s">
        <v>1523</v>
      </c>
    </row>
    <row r="839" spans="1:1" ht="15" x14ac:dyDescent="0.25">
      <c r="A839" s="31" t="s">
        <v>1524</v>
      </c>
    </row>
    <row r="840" spans="1:1" ht="15" x14ac:dyDescent="0.25">
      <c r="A840" s="31" t="s">
        <v>1525</v>
      </c>
    </row>
    <row r="841" spans="1:1" ht="15" x14ac:dyDescent="0.25">
      <c r="A841" s="31" t="s">
        <v>1526</v>
      </c>
    </row>
    <row r="842" spans="1:1" ht="15" x14ac:dyDescent="0.25">
      <c r="A842" s="31" t="s">
        <v>1527</v>
      </c>
    </row>
    <row r="843" spans="1:1" ht="15" x14ac:dyDescent="0.25">
      <c r="A843" s="31" t="s">
        <v>1528</v>
      </c>
    </row>
    <row r="844" spans="1:1" ht="15" x14ac:dyDescent="0.25">
      <c r="A844" s="31" t="s">
        <v>1529</v>
      </c>
    </row>
    <row r="845" spans="1:1" ht="15" x14ac:dyDescent="0.25">
      <c r="A845" s="31" t="s">
        <v>1530</v>
      </c>
    </row>
    <row r="846" spans="1:1" ht="15" x14ac:dyDescent="0.25">
      <c r="A846" s="31" t="s">
        <v>1531</v>
      </c>
    </row>
    <row r="847" spans="1:1" ht="15" x14ac:dyDescent="0.25">
      <c r="A847" s="31" t="s">
        <v>1532</v>
      </c>
    </row>
    <row r="848" spans="1:1" ht="15" x14ac:dyDescent="0.25">
      <c r="A848" s="31" t="s">
        <v>1533</v>
      </c>
    </row>
    <row r="849" spans="1:1" ht="15" x14ac:dyDescent="0.25">
      <c r="A849" s="31" t="s">
        <v>1534</v>
      </c>
    </row>
    <row r="850" spans="1:1" ht="15" x14ac:dyDescent="0.25">
      <c r="A850" s="31" t="s">
        <v>1535</v>
      </c>
    </row>
    <row r="851" spans="1:1" ht="15" x14ac:dyDescent="0.25">
      <c r="A851" s="31" t="s">
        <v>1536</v>
      </c>
    </row>
    <row r="852" spans="1:1" ht="15" x14ac:dyDescent="0.25">
      <c r="A852" s="31" t="s">
        <v>1537</v>
      </c>
    </row>
    <row r="853" spans="1:1" ht="15" x14ac:dyDescent="0.25">
      <c r="A853" s="31" t="s">
        <v>1538</v>
      </c>
    </row>
    <row r="854" spans="1:1" ht="15" x14ac:dyDescent="0.25">
      <c r="A854" s="31" t="s">
        <v>1539</v>
      </c>
    </row>
    <row r="855" spans="1:1" ht="15" x14ac:dyDescent="0.25">
      <c r="A855" s="31" t="s">
        <v>1540</v>
      </c>
    </row>
    <row r="856" spans="1:1" ht="15" x14ac:dyDescent="0.25">
      <c r="A856" s="31" t="s">
        <v>1541</v>
      </c>
    </row>
    <row r="857" spans="1:1" ht="15" x14ac:dyDescent="0.25">
      <c r="A857" s="31" t="s">
        <v>1542</v>
      </c>
    </row>
    <row r="858" spans="1:1" ht="15" x14ac:dyDescent="0.25">
      <c r="A858" s="31" t="s">
        <v>1543</v>
      </c>
    </row>
    <row r="859" spans="1:1" ht="15" x14ac:dyDescent="0.25">
      <c r="A859" s="31" t="s">
        <v>1544</v>
      </c>
    </row>
    <row r="860" spans="1:1" ht="15" x14ac:dyDescent="0.25">
      <c r="A860" s="31" t="s">
        <v>1545</v>
      </c>
    </row>
    <row r="861" spans="1:1" ht="15" x14ac:dyDescent="0.25">
      <c r="A861" s="31" t="s">
        <v>1546</v>
      </c>
    </row>
    <row r="862" spans="1:1" ht="15" x14ac:dyDescent="0.25">
      <c r="A862" s="31" t="s">
        <v>1547</v>
      </c>
    </row>
    <row r="863" spans="1:1" ht="15" x14ac:dyDescent="0.25">
      <c r="A863" s="31" t="s">
        <v>1548</v>
      </c>
    </row>
    <row r="864" spans="1:1" ht="15" x14ac:dyDescent="0.25">
      <c r="A864" s="31" t="s">
        <v>1549</v>
      </c>
    </row>
    <row r="865" spans="1:1" ht="15" x14ac:dyDescent="0.25">
      <c r="A865" s="31" t="s">
        <v>1550</v>
      </c>
    </row>
    <row r="866" spans="1:1" ht="15" x14ac:dyDescent="0.25">
      <c r="A866" s="31" t="s">
        <v>1551</v>
      </c>
    </row>
    <row r="867" spans="1:1" ht="15" x14ac:dyDescent="0.25">
      <c r="A867" s="31" t="s">
        <v>1552</v>
      </c>
    </row>
    <row r="868" spans="1:1" ht="15" x14ac:dyDescent="0.25">
      <c r="A868" s="31" t="s">
        <v>1553</v>
      </c>
    </row>
    <row r="869" spans="1:1" ht="15" x14ac:dyDescent="0.25">
      <c r="A869" s="31" t="s">
        <v>1554</v>
      </c>
    </row>
    <row r="870" spans="1:1" ht="15" x14ac:dyDescent="0.25">
      <c r="A870" s="31" t="s">
        <v>1555</v>
      </c>
    </row>
    <row r="871" spans="1:1" ht="15" x14ac:dyDescent="0.25">
      <c r="A871" s="31" t="s">
        <v>1556</v>
      </c>
    </row>
    <row r="872" spans="1:1" ht="15" x14ac:dyDescent="0.25">
      <c r="A872" s="31" t="s">
        <v>1557</v>
      </c>
    </row>
    <row r="873" spans="1:1" ht="15" x14ac:dyDescent="0.25">
      <c r="A873" s="31" t="s">
        <v>1558</v>
      </c>
    </row>
    <row r="874" spans="1:1" ht="15" x14ac:dyDescent="0.25">
      <c r="A874" s="31" t="s">
        <v>1559</v>
      </c>
    </row>
    <row r="875" spans="1:1" ht="15" x14ac:dyDescent="0.25">
      <c r="A875" s="31" t="s">
        <v>1560</v>
      </c>
    </row>
    <row r="876" spans="1:1" ht="15" x14ac:dyDescent="0.25">
      <c r="A876" s="31" t="s">
        <v>1561</v>
      </c>
    </row>
    <row r="877" spans="1:1" ht="15" x14ac:dyDescent="0.25">
      <c r="A877" s="31" t="s">
        <v>1562</v>
      </c>
    </row>
    <row r="878" spans="1:1" ht="15" x14ac:dyDescent="0.25">
      <c r="A878" s="31" t="s">
        <v>1563</v>
      </c>
    </row>
    <row r="879" spans="1:1" ht="15" x14ac:dyDescent="0.25">
      <c r="A879" s="31" t="s">
        <v>1564</v>
      </c>
    </row>
    <row r="880" spans="1:1" ht="15" x14ac:dyDescent="0.25">
      <c r="A880" s="31" t="s">
        <v>1565</v>
      </c>
    </row>
    <row r="881" spans="1:1" ht="15" x14ac:dyDescent="0.25">
      <c r="A881" s="31" t="s">
        <v>1566</v>
      </c>
    </row>
    <row r="882" spans="1:1" ht="15" x14ac:dyDescent="0.25">
      <c r="A882" s="31" t="s">
        <v>1567</v>
      </c>
    </row>
    <row r="883" spans="1:1" ht="15" x14ac:dyDescent="0.25">
      <c r="A883" s="31" t="s">
        <v>1568</v>
      </c>
    </row>
    <row r="884" spans="1:1" ht="15" x14ac:dyDescent="0.25">
      <c r="A884" s="31" t="s">
        <v>1569</v>
      </c>
    </row>
    <row r="885" spans="1:1" ht="15" x14ac:dyDescent="0.25">
      <c r="A885" s="31" t="s">
        <v>1570</v>
      </c>
    </row>
    <row r="886" spans="1:1" ht="15" x14ac:dyDescent="0.25">
      <c r="A886" s="31" t="s">
        <v>1571</v>
      </c>
    </row>
    <row r="887" spans="1:1" ht="15" x14ac:dyDescent="0.25">
      <c r="A887" s="31" t="s">
        <v>1572</v>
      </c>
    </row>
    <row r="888" spans="1:1" ht="15" x14ac:dyDescent="0.25">
      <c r="A888" s="31" t="s">
        <v>1573</v>
      </c>
    </row>
    <row r="889" spans="1:1" ht="15" x14ac:dyDescent="0.25">
      <c r="A889" s="31" t="s">
        <v>1574</v>
      </c>
    </row>
    <row r="890" spans="1:1" ht="15" x14ac:dyDescent="0.25">
      <c r="A890" s="31" t="s">
        <v>1575</v>
      </c>
    </row>
    <row r="891" spans="1:1" ht="15" x14ac:dyDescent="0.25">
      <c r="A891" s="31" t="s">
        <v>1576</v>
      </c>
    </row>
    <row r="892" spans="1:1" ht="15" x14ac:dyDescent="0.25">
      <c r="A892" s="31" t="s">
        <v>1577</v>
      </c>
    </row>
    <row r="893" spans="1:1" ht="15" x14ac:dyDescent="0.25">
      <c r="A893" s="31" t="s">
        <v>1578</v>
      </c>
    </row>
    <row r="894" spans="1:1" ht="15" x14ac:dyDescent="0.25">
      <c r="A894" s="31" t="s">
        <v>1579</v>
      </c>
    </row>
    <row r="895" spans="1:1" ht="15" x14ac:dyDescent="0.25">
      <c r="A895" s="31" t="s">
        <v>1580</v>
      </c>
    </row>
    <row r="896" spans="1:1" ht="15" x14ac:dyDescent="0.25">
      <c r="A896" s="31" t="s">
        <v>1581</v>
      </c>
    </row>
    <row r="897" spans="1:1" ht="15" x14ac:dyDescent="0.25">
      <c r="A897" s="31" t="s">
        <v>1582</v>
      </c>
    </row>
    <row r="898" spans="1:1" ht="15" x14ac:dyDescent="0.25">
      <c r="A898" s="31" t="s">
        <v>1583</v>
      </c>
    </row>
    <row r="899" spans="1:1" ht="15" x14ac:dyDescent="0.25">
      <c r="A899" s="31" t="s">
        <v>1584</v>
      </c>
    </row>
    <row r="900" spans="1:1" ht="15" x14ac:dyDescent="0.25">
      <c r="A900" s="31" t="s">
        <v>1585</v>
      </c>
    </row>
    <row r="901" spans="1:1" ht="15" x14ac:dyDescent="0.25">
      <c r="A901" s="31" t="s">
        <v>1586</v>
      </c>
    </row>
    <row r="902" spans="1:1" ht="15" x14ac:dyDescent="0.25">
      <c r="A902" s="31" t="s">
        <v>1587</v>
      </c>
    </row>
    <row r="903" spans="1:1" ht="15" x14ac:dyDescent="0.25">
      <c r="A903" s="31" t="s">
        <v>1588</v>
      </c>
    </row>
    <row r="904" spans="1:1" ht="15" x14ac:dyDescent="0.25">
      <c r="A904" s="31" t="s">
        <v>1589</v>
      </c>
    </row>
    <row r="905" spans="1:1" ht="15" x14ac:dyDescent="0.25">
      <c r="A905" s="31" t="s">
        <v>1590</v>
      </c>
    </row>
    <row r="906" spans="1:1" ht="15" x14ac:dyDescent="0.25">
      <c r="A906" s="31" t="s">
        <v>1591</v>
      </c>
    </row>
    <row r="907" spans="1:1" ht="15" x14ac:dyDescent="0.25">
      <c r="A907" s="31" t="s">
        <v>1592</v>
      </c>
    </row>
    <row r="908" spans="1:1" ht="15" x14ac:dyDescent="0.25">
      <c r="A908" s="31" t="s">
        <v>1593</v>
      </c>
    </row>
    <row r="909" spans="1:1" ht="15" x14ac:dyDescent="0.25">
      <c r="A909" s="31" t="s">
        <v>1594</v>
      </c>
    </row>
    <row r="910" spans="1:1" ht="15" x14ac:dyDescent="0.25">
      <c r="A910" s="31" t="s">
        <v>1595</v>
      </c>
    </row>
    <row r="911" spans="1:1" ht="15" x14ac:dyDescent="0.25">
      <c r="A911" s="31" t="s">
        <v>1596</v>
      </c>
    </row>
    <row r="912" spans="1:1" ht="15" x14ac:dyDescent="0.25">
      <c r="A912" s="31" t="s">
        <v>1597</v>
      </c>
    </row>
    <row r="913" spans="1:1" ht="15" x14ac:dyDescent="0.25">
      <c r="A913" s="31" t="s">
        <v>1598</v>
      </c>
    </row>
    <row r="914" spans="1:1" ht="15" x14ac:dyDescent="0.25">
      <c r="A914" s="31" t="s">
        <v>1599</v>
      </c>
    </row>
    <row r="915" spans="1:1" ht="15" x14ac:dyDescent="0.25">
      <c r="A915" s="31" t="s">
        <v>1600</v>
      </c>
    </row>
    <row r="916" spans="1:1" ht="15" x14ac:dyDescent="0.25">
      <c r="A916" s="31" t="s">
        <v>1601</v>
      </c>
    </row>
    <row r="917" spans="1:1" ht="15" x14ac:dyDescent="0.25">
      <c r="A917" s="31" t="s">
        <v>1602</v>
      </c>
    </row>
    <row r="918" spans="1:1" ht="15" x14ac:dyDescent="0.25">
      <c r="A918" s="31" t="s">
        <v>1603</v>
      </c>
    </row>
    <row r="919" spans="1:1" ht="15" x14ac:dyDescent="0.25">
      <c r="A919" s="31" t="s">
        <v>1604</v>
      </c>
    </row>
    <row r="920" spans="1:1" ht="15" x14ac:dyDescent="0.25">
      <c r="A920" s="31" t="s">
        <v>1605</v>
      </c>
    </row>
    <row r="921" spans="1:1" ht="15" x14ac:dyDescent="0.25">
      <c r="A921" s="31" t="s">
        <v>1606</v>
      </c>
    </row>
    <row r="922" spans="1:1" ht="15" x14ac:dyDescent="0.25">
      <c r="A922" s="31" t="s">
        <v>1607</v>
      </c>
    </row>
    <row r="923" spans="1:1" ht="15" x14ac:dyDescent="0.25">
      <c r="A923" s="31" t="s">
        <v>1608</v>
      </c>
    </row>
    <row r="924" spans="1:1" ht="15" x14ac:dyDescent="0.25">
      <c r="A924" s="31" t="s">
        <v>1609</v>
      </c>
    </row>
    <row r="925" spans="1:1" ht="15" x14ac:dyDescent="0.25">
      <c r="A925" s="31" t="s">
        <v>1610</v>
      </c>
    </row>
    <row r="926" spans="1:1" ht="15" x14ac:dyDescent="0.25">
      <c r="A926" s="31" t="s">
        <v>1611</v>
      </c>
    </row>
    <row r="927" spans="1:1" ht="15" x14ac:dyDescent="0.25">
      <c r="A927" s="31" t="s">
        <v>1612</v>
      </c>
    </row>
    <row r="928" spans="1:1" ht="15" x14ac:dyDescent="0.25">
      <c r="A928" s="31" t="s">
        <v>1613</v>
      </c>
    </row>
    <row r="929" spans="1:1" ht="15" x14ac:dyDescent="0.25">
      <c r="A929" s="31" t="s">
        <v>1614</v>
      </c>
    </row>
    <row r="930" spans="1:1" ht="15" x14ac:dyDescent="0.25">
      <c r="A930" s="31" t="s">
        <v>1615</v>
      </c>
    </row>
    <row r="931" spans="1:1" ht="15" x14ac:dyDescent="0.25">
      <c r="A931" s="31" t="s">
        <v>1616</v>
      </c>
    </row>
    <row r="932" spans="1:1" ht="15" x14ac:dyDescent="0.25">
      <c r="A932" s="31" t="s">
        <v>1617</v>
      </c>
    </row>
    <row r="933" spans="1:1" ht="15" x14ac:dyDescent="0.25">
      <c r="A933" s="31" t="s">
        <v>1618</v>
      </c>
    </row>
    <row r="934" spans="1:1" ht="15" x14ac:dyDescent="0.25">
      <c r="A934" s="31" t="s">
        <v>1619</v>
      </c>
    </row>
    <row r="935" spans="1:1" ht="15" x14ac:dyDescent="0.25">
      <c r="A935" s="31" t="s">
        <v>1620</v>
      </c>
    </row>
    <row r="936" spans="1:1" ht="15" x14ac:dyDescent="0.25">
      <c r="A936" s="31" t="s">
        <v>1621</v>
      </c>
    </row>
    <row r="937" spans="1:1" ht="15" x14ac:dyDescent="0.25">
      <c r="A937" s="31" t="s">
        <v>1622</v>
      </c>
    </row>
    <row r="938" spans="1:1" ht="15" x14ac:dyDescent="0.25">
      <c r="A938" s="31" t="s">
        <v>1623</v>
      </c>
    </row>
    <row r="939" spans="1:1" ht="15" x14ac:dyDescent="0.25">
      <c r="A939" s="31" t="s">
        <v>1624</v>
      </c>
    </row>
    <row r="940" spans="1:1" ht="15" x14ac:dyDescent="0.25">
      <c r="A940" s="31" t="s">
        <v>1625</v>
      </c>
    </row>
    <row r="941" spans="1:1" ht="15" x14ac:dyDescent="0.25">
      <c r="A941" s="31" t="s">
        <v>1626</v>
      </c>
    </row>
    <row r="942" spans="1:1" ht="15" x14ac:dyDescent="0.25">
      <c r="A942" s="31" t="s">
        <v>1627</v>
      </c>
    </row>
    <row r="943" spans="1:1" ht="15" x14ac:dyDescent="0.25">
      <c r="A943" s="31" t="s">
        <v>1628</v>
      </c>
    </row>
    <row r="944" spans="1:1" ht="15" x14ac:dyDescent="0.25">
      <c r="A944" s="31" t="s">
        <v>1629</v>
      </c>
    </row>
    <row r="945" spans="1:1" ht="15" x14ac:dyDescent="0.25">
      <c r="A945" s="31" t="s">
        <v>1630</v>
      </c>
    </row>
    <row r="946" spans="1:1" ht="15" x14ac:dyDescent="0.25">
      <c r="A946" s="31" t="s">
        <v>1631</v>
      </c>
    </row>
    <row r="947" spans="1:1" ht="15" x14ac:dyDescent="0.25">
      <c r="A947" s="31" t="s">
        <v>1632</v>
      </c>
    </row>
    <row r="948" spans="1:1" ht="15" x14ac:dyDescent="0.25">
      <c r="A948" s="31" t="s">
        <v>1633</v>
      </c>
    </row>
    <row r="949" spans="1:1" ht="15" x14ac:dyDescent="0.25">
      <c r="A949" s="31" t="s">
        <v>1634</v>
      </c>
    </row>
    <row r="950" spans="1:1" ht="15" x14ac:dyDescent="0.25">
      <c r="A950" s="31" t="s">
        <v>1635</v>
      </c>
    </row>
    <row r="951" spans="1:1" ht="15" x14ac:dyDescent="0.25">
      <c r="A951" s="31" t="s">
        <v>1636</v>
      </c>
    </row>
    <row r="952" spans="1:1" ht="15" x14ac:dyDescent="0.25">
      <c r="A952" s="31" t="s">
        <v>1637</v>
      </c>
    </row>
    <row r="953" spans="1:1" ht="15" x14ac:dyDescent="0.25">
      <c r="A953" s="31" t="s">
        <v>1638</v>
      </c>
    </row>
    <row r="954" spans="1:1" ht="15" x14ac:dyDescent="0.25">
      <c r="A954" s="31" t="s">
        <v>1639</v>
      </c>
    </row>
    <row r="955" spans="1:1" ht="15" x14ac:dyDescent="0.25">
      <c r="A955" s="31" t="s">
        <v>1640</v>
      </c>
    </row>
    <row r="956" spans="1:1" ht="15" x14ac:dyDescent="0.25">
      <c r="A956" s="31" t="s">
        <v>1641</v>
      </c>
    </row>
    <row r="957" spans="1:1" ht="15" x14ac:dyDescent="0.25">
      <c r="A957" s="31" t="s">
        <v>1642</v>
      </c>
    </row>
    <row r="958" spans="1:1" ht="15" x14ac:dyDescent="0.25">
      <c r="A958" s="31" t="s">
        <v>1643</v>
      </c>
    </row>
    <row r="959" spans="1:1" ht="15" x14ac:dyDescent="0.25">
      <c r="A959" s="31" t="s">
        <v>1644</v>
      </c>
    </row>
    <row r="960" spans="1:1" ht="15" x14ac:dyDescent="0.25">
      <c r="A960" s="31" t="s">
        <v>1645</v>
      </c>
    </row>
    <row r="961" spans="1:1" ht="15" x14ac:dyDescent="0.25">
      <c r="A961" s="31" t="s">
        <v>1646</v>
      </c>
    </row>
    <row r="962" spans="1:1" ht="15" x14ac:dyDescent="0.25">
      <c r="A962" s="31" t="s">
        <v>1647</v>
      </c>
    </row>
    <row r="963" spans="1:1" ht="15" x14ac:dyDescent="0.25">
      <c r="A963" s="31" t="s">
        <v>1648</v>
      </c>
    </row>
    <row r="964" spans="1:1" ht="15" x14ac:dyDescent="0.25">
      <c r="A964" s="31" t="s">
        <v>1649</v>
      </c>
    </row>
    <row r="965" spans="1:1" ht="15" x14ac:dyDescent="0.25">
      <c r="A965" s="31" t="s">
        <v>1650</v>
      </c>
    </row>
    <row r="966" spans="1:1" ht="15" x14ac:dyDescent="0.25">
      <c r="A966" s="31" t="s">
        <v>1651</v>
      </c>
    </row>
    <row r="967" spans="1:1" ht="15" x14ac:dyDescent="0.25">
      <c r="A967" s="31" t="s">
        <v>1652</v>
      </c>
    </row>
    <row r="968" spans="1:1" ht="15" x14ac:dyDescent="0.25">
      <c r="A968" s="31" t="s">
        <v>1653</v>
      </c>
    </row>
    <row r="969" spans="1:1" ht="15" x14ac:dyDescent="0.25">
      <c r="A969" s="31" t="s">
        <v>1654</v>
      </c>
    </row>
    <row r="970" spans="1:1" ht="15" x14ac:dyDescent="0.25">
      <c r="A970" s="31" t="s">
        <v>1655</v>
      </c>
    </row>
    <row r="971" spans="1:1" ht="15" x14ac:dyDescent="0.25">
      <c r="A971" s="31" t="s">
        <v>1656</v>
      </c>
    </row>
    <row r="972" spans="1:1" ht="15" x14ac:dyDescent="0.25">
      <c r="A972" s="31" t="s">
        <v>1657</v>
      </c>
    </row>
    <row r="973" spans="1:1" ht="15" x14ac:dyDescent="0.25">
      <c r="A973" s="31" t="s">
        <v>1658</v>
      </c>
    </row>
    <row r="974" spans="1:1" ht="15" x14ac:dyDescent="0.25">
      <c r="A974" s="31" t="s">
        <v>1659</v>
      </c>
    </row>
    <row r="975" spans="1:1" ht="15" x14ac:dyDescent="0.25">
      <c r="A975" s="31" t="s">
        <v>1660</v>
      </c>
    </row>
    <row r="976" spans="1:1" ht="15" x14ac:dyDescent="0.25">
      <c r="A976" s="31" t="s">
        <v>1661</v>
      </c>
    </row>
    <row r="977" spans="1:1" ht="15" x14ac:dyDescent="0.25">
      <c r="A977" s="31" t="s">
        <v>1662</v>
      </c>
    </row>
    <row r="978" spans="1:1" ht="15" x14ac:dyDescent="0.25">
      <c r="A978" s="31" t="s">
        <v>1663</v>
      </c>
    </row>
    <row r="979" spans="1:1" ht="15" x14ac:dyDescent="0.25">
      <c r="A979" s="31" t="s">
        <v>1664</v>
      </c>
    </row>
    <row r="980" spans="1:1" ht="15" x14ac:dyDescent="0.25">
      <c r="A980" s="31" t="s">
        <v>1665</v>
      </c>
    </row>
    <row r="981" spans="1:1" ht="15" x14ac:dyDescent="0.25">
      <c r="A981" s="31" t="s">
        <v>1666</v>
      </c>
    </row>
    <row r="982" spans="1:1" ht="15" x14ac:dyDescent="0.25">
      <c r="A982" s="31" t="s">
        <v>1667</v>
      </c>
    </row>
    <row r="983" spans="1:1" ht="15" x14ac:dyDescent="0.25">
      <c r="A983" s="31" t="s">
        <v>1668</v>
      </c>
    </row>
    <row r="984" spans="1:1" ht="15" x14ac:dyDescent="0.25">
      <c r="A984" s="31" t="s">
        <v>1669</v>
      </c>
    </row>
    <row r="985" spans="1:1" ht="15" x14ac:dyDescent="0.25">
      <c r="A985" s="31" t="s">
        <v>1670</v>
      </c>
    </row>
    <row r="986" spans="1:1" ht="15" x14ac:dyDescent="0.25">
      <c r="A986" s="31" t="s">
        <v>1671</v>
      </c>
    </row>
    <row r="987" spans="1:1" ht="15" x14ac:dyDescent="0.25">
      <c r="A987" s="31" t="s">
        <v>1672</v>
      </c>
    </row>
    <row r="988" spans="1:1" ht="15" x14ac:dyDescent="0.25">
      <c r="A988" s="31" t="s">
        <v>1673</v>
      </c>
    </row>
    <row r="989" spans="1:1" ht="15" x14ac:dyDescent="0.25">
      <c r="A989" s="31" t="s">
        <v>1674</v>
      </c>
    </row>
    <row r="990" spans="1:1" ht="15" x14ac:dyDescent="0.25">
      <c r="A990" s="31" t="s">
        <v>1675</v>
      </c>
    </row>
    <row r="991" spans="1:1" ht="15" x14ac:dyDescent="0.25">
      <c r="A991" s="31" t="s">
        <v>1676</v>
      </c>
    </row>
    <row r="992" spans="1:1" ht="15" x14ac:dyDescent="0.25">
      <c r="A992" s="31" t="s">
        <v>1677</v>
      </c>
    </row>
    <row r="993" spans="1:1" ht="15" x14ac:dyDescent="0.25">
      <c r="A993" s="31" t="s">
        <v>1678</v>
      </c>
    </row>
    <row r="994" spans="1:1" ht="15" x14ac:dyDescent="0.25">
      <c r="A994" s="31" t="s">
        <v>1679</v>
      </c>
    </row>
    <row r="995" spans="1:1" ht="15" x14ac:dyDescent="0.25">
      <c r="A995" s="31" t="s">
        <v>1680</v>
      </c>
    </row>
    <row r="996" spans="1:1" ht="15" x14ac:dyDescent="0.25">
      <c r="A996" s="31" t="s">
        <v>1681</v>
      </c>
    </row>
    <row r="997" spans="1:1" ht="15" x14ac:dyDescent="0.25">
      <c r="A997" s="31" t="s">
        <v>1682</v>
      </c>
    </row>
    <row r="998" spans="1:1" ht="15" x14ac:dyDescent="0.25">
      <c r="A998" s="31" t="s">
        <v>1683</v>
      </c>
    </row>
    <row r="999" spans="1:1" ht="15" x14ac:dyDescent="0.25">
      <c r="A999" s="31" t="s">
        <v>1684</v>
      </c>
    </row>
    <row r="1000" spans="1:1" ht="15" x14ac:dyDescent="0.25">
      <c r="A1000" s="31" t="s">
        <v>1685</v>
      </c>
    </row>
    <row r="1001" spans="1:1" ht="15" x14ac:dyDescent="0.25">
      <c r="A1001" s="31" t="s">
        <v>1686</v>
      </c>
    </row>
    <row r="1002" spans="1:1" ht="15" x14ac:dyDescent="0.25">
      <c r="A1002" s="31" t="s">
        <v>1687</v>
      </c>
    </row>
    <row r="1003" spans="1:1" ht="15" x14ac:dyDescent="0.25">
      <c r="A1003" s="31" t="s">
        <v>1688</v>
      </c>
    </row>
    <row r="1004" spans="1:1" ht="15" x14ac:dyDescent="0.25">
      <c r="A1004" s="31" t="s">
        <v>1689</v>
      </c>
    </row>
    <row r="1005" spans="1:1" ht="15" x14ac:dyDescent="0.25">
      <c r="A1005" s="31" t="s">
        <v>1690</v>
      </c>
    </row>
    <row r="1006" spans="1:1" ht="15" x14ac:dyDescent="0.25">
      <c r="A1006" s="31" t="s">
        <v>1691</v>
      </c>
    </row>
    <row r="1007" spans="1:1" ht="15" x14ac:dyDescent="0.25">
      <c r="A1007" s="31" t="s">
        <v>1692</v>
      </c>
    </row>
    <row r="1008" spans="1:1" ht="15" x14ac:dyDescent="0.25">
      <c r="A1008" s="31" t="s">
        <v>1693</v>
      </c>
    </row>
    <row r="1009" spans="1:1" ht="15" x14ac:dyDescent="0.25">
      <c r="A1009" s="31" t="s">
        <v>1694</v>
      </c>
    </row>
    <row r="1010" spans="1:1" ht="15" x14ac:dyDescent="0.25">
      <c r="A1010" s="31" t="s">
        <v>1695</v>
      </c>
    </row>
    <row r="1011" spans="1:1" ht="15" x14ac:dyDescent="0.25">
      <c r="A1011" s="31" t="s">
        <v>1696</v>
      </c>
    </row>
    <row r="1012" spans="1:1" ht="15" x14ac:dyDescent="0.25">
      <c r="A1012" s="31" t="s">
        <v>1697</v>
      </c>
    </row>
    <row r="1013" spans="1:1" ht="15" x14ac:dyDescent="0.25">
      <c r="A1013" s="31" t="s">
        <v>1698</v>
      </c>
    </row>
    <row r="1014" spans="1:1" ht="15" x14ac:dyDescent="0.25">
      <c r="A1014" s="31" t="s">
        <v>1699</v>
      </c>
    </row>
    <row r="1015" spans="1:1" ht="15" x14ac:dyDescent="0.25">
      <c r="A1015" s="31" t="s">
        <v>1700</v>
      </c>
    </row>
    <row r="1016" spans="1:1" ht="15" x14ac:dyDescent="0.25">
      <c r="A1016" s="31" t="s">
        <v>1701</v>
      </c>
    </row>
    <row r="1017" spans="1:1" ht="15" x14ac:dyDescent="0.25">
      <c r="A1017" s="31" t="s">
        <v>1702</v>
      </c>
    </row>
    <row r="1018" spans="1:1" ht="15" x14ac:dyDescent="0.25">
      <c r="A1018" s="31" t="s">
        <v>1703</v>
      </c>
    </row>
    <row r="1019" spans="1:1" ht="15" x14ac:dyDescent="0.25">
      <c r="A1019" s="31" t="s">
        <v>1704</v>
      </c>
    </row>
    <row r="1020" spans="1:1" ht="15" x14ac:dyDescent="0.25">
      <c r="A1020" s="31" t="s">
        <v>1705</v>
      </c>
    </row>
    <row r="1021" spans="1:1" ht="15" x14ac:dyDescent="0.25">
      <c r="A1021" s="31" t="s">
        <v>1706</v>
      </c>
    </row>
    <row r="1022" spans="1:1" ht="15" x14ac:dyDescent="0.25">
      <c r="A1022" s="31" t="s">
        <v>1707</v>
      </c>
    </row>
    <row r="1023" spans="1:1" ht="15" x14ac:dyDescent="0.25">
      <c r="A1023" s="31" t="s">
        <v>1708</v>
      </c>
    </row>
    <row r="1024" spans="1:1" ht="15" x14ac:dyDescent="0.25">
      <c r="A1024" s="31" t="s">
        <v>1709</v>
      </c>
    </row>
    <row r="1025" spans="1:1" ht="15" x14ac:dyDescent="0.25">
      <c r="A1025" s="31" t="s">
        <v>1710</v>
      </c>
    </row>
    <row r="1026" spans="1:1" ht="15" x14ac:dyDescent="0.25">
      <c r="A1026" s="31" t="s">
        <v>1711</v>
      </c>
    </row>
    <row r="1027" spans="1:1" ht="15" x14ac:dyDescent="0.25">
      <c r="A1027" s="31" t="s">
        <v>1712</v>
      </c>
    </row>
    <row r="1028" spans="1:1" ht="15" x14ac:dyDescent="0.25">
      <c r="A1028" s="31" t="s">
        <v>1713</v>
      </c>
    </row>
    <row r="1029" spans="1:1" ht="15" x14ac:dyDescent="0.25">
      <c r="A1029" s="31" t="s">
        <v>1714</v>
      </c>
    </row>
    <row r="1030" spans="1:1" ht="15" x14ac:dyDescent="0.25">
      <c r="A1030" s="31" t="s">
        <v>1715</v>
      </c>
    </row>
    <row r="1031" spans="1:1" ht="15" x14ac:dyDescent="0.25">
      <c r="A1031" s="31" t="s">
        <v>1716</v>
      </c>
    </row>
    <row r="1032" spans="1:1" ht="15" x14ac:dyDescent="0.25">
      <c r="A1032" s="31" t="s">
        <v>1717</v>
      </c>
    </row>
    <row r="1033" spans="1:1" ht="15" x14ac:dyDescent="0.25">
      <c r="A1033" s="31" t="s">
        <v>1718</v>
      </c>
    </row>
    <row r="1034" spans="1:1" ht="15" x14ac:dyDescent="0.25">
      <c r="A1034" s="31" t="s">
        <v>1719</v>
      </c>
    </row>
    <row r="1035" spans="1:1" ht="15" x14ac:dyDescent="0.25">
      <c r="A1035" s="31" t="s">
        <v>1720</v>
      </c>
    </row>
    <row r="1036" spans="1:1" ht="15" x14ac:dyDescent="0.25">
      <c r="A1036" s="31" t="s">
        <v>1721</v>
      </c>
    </row>
    <row r="1037" spans="1:1" ht="15" x14ac:dyDescent="0.25">
      <c r="A1037" s="31" t="s">
        <v>1722</v>
      </c>
    </row>
    <row r="1038" spans="1:1" ht="15" x14ac:dyDescent="0.25">
      <c r="A1038" s="31" t="s">
        <v>1723</v>
      </c>
    </row>
    <row r="1039" spans="1:1" ht="15" x14ac:dyDescent="0.25">
      <c r="A1039" s="31" t="s">
        <v>1724</v>
      </c>
    </row>
    <row r="1040" spans="1:1" ht="15" x14ac:dyDescent="0.25">
      <c r="A1040" s="31" t="s">
        <v>1725</v>
      </c>
    </row>
    <row r="1041" spans="1:1" ht="15" x14ac:dyDescent="0.25">
      <c r="A1041" s="31" t="s">
        <v>1726</v>
      </c>
    </row>
    <row r="1042" spans="1:1" ht="15" x14ac:dyDescent="0.25">
      <c r="A1042" s="31" t="s">
        <v>1727</v>
      </c>
    </row>
    <row r="1043" spans="1:1" ht="15" x14ac:dyDescent="0.25">
      <c r="A1043" s="31" t="s">
        <v>1728</v>
      </c>
    </row>
    <row r="1044" spans="1:1" ht="15" x14ac:dyDescent="0.25">
      <c r="A1044" s="31" t="s">
        <v>1729</v>
      </c>
    </row>
    <row r="1045" spans="1:1" ht="15" x14ac:dyDescent="0.25">
      <c r="A1045" s="31" t="s">
        <v>1730</v>
      </c>
    </row>
    <row r="1046" spans="1:1" ht="15" x14ac:dyDescent="0.25">
      <c r="A1046" s="31" t="s">
        <v>1731</v>
      </c>
    </row>
    <row r="1047" spans="1:1" ht="15" x14ac:dyDescent="0.25">
      <c r="A1047" s="31" t="s">
        <v>1732</v>
      </c>
    </row>
    <row r="1048" spans="1:1" ht="15" x14ac:dyDescent="0.25">
      <c r="A1048" s="31" t="s">
        <v>1733</v>
      </c>
    </row>
    <row r="1049" spans="1:1" ht="15" x14ac:dyDescent="0.25">
      <c r="A1049" s="31" t="s">
        <v>1734</v>
      </c>
    </row>
    <row r="1050" spans="1:1" ht="15" x14ac:dyDescent="0.25">
      <c r="A1050" s="31" t="s">
        <v>1735</v>
      </c>
    </row>
    <row r="1051" spans="1:1" ht="15" x14ac:dyDescent="0.25">
      <c r="A1051" s="31" t="s">
        <v>1736</v>
      </c>
    </row>
    <row r="1052" spans="1:1" ht="15" x14ac:dyDescent="0.25">
      <c r="A1052" s="31" t="s">
        <v>1737</v>
      </c>
    </row>
    <row r="1053" spans="1:1" ht="15" x14ac:dyDescent="0.25">
      <c r="A1053" s="31" t="s">
        <v>1738</v>
      </c>
    </row>
    <row r="1054" spans="1:1" ht="15" x14ac:dyDescent="0.25">
      <c r="A1054" s="31" t="s">
        <v>1739</v>
      </c>
    </row>
    <row r="1055" spans="1:1" ht="15" x14ac:dyDescent="0.25">
      <c r="A1055" s="31" t="s">
        <v>1740</v>
      </c>
    </row>
    <row r="1056" spans="1:1" ht="15" x14ac:dyDescent="0.25">
      <c r="A1056" s="31" t="s">
        <v>1741</v>
      </c>
    </row>
    <row r="1057" spans="1:1" ht="15" x14ac:dyDescent="0.25">
      <c r="A1057" s="31" t="s">
        <v>1742</v>
      </c>
    </row>
    <row r="1058" spans="1:1" ht="15" x14ac:dyDescent="0.25">
      <c r="A1058" s="31" t="s">
        <v>1743</v>
      </c>
    </row>
    <row r="1059" spans="1:1" ht="15" x14ac:dyDescent="0.25">
      <c r="A1059" s="31" t="s">
        <v>1744</v>
      </c>
    </row>
    <row r="1060" spans="1:1" ht="15" x14ac:dyDescent="0.25">
      <c r="A1060" s="31" t="s">
        <v>1745</v>
      </c>
    </row>
    <row r="1061" spans="1:1" ht="15" x14ac:dyDescent="0.25">
      <c r="A1061" s="31" t="s">
        <v>1746</v>
      </c>
    </row>
    <row r="1062" spans="1:1" ht="15" x14ac:dyDescent="0.25">
      <c r="A1062" s="31" t="s">
        <v>1747</v>
      </c>
    </row>
    <row r="1063" spans="1:1" ht="15" x14ac:dyDescent="0.25">
      <c r="A1063" s="31" t="s">
        <v>1748</v>
      </c>
    </row>
    <row r="1064" spans="1:1" ht="15" x14ac:dyDescent="0.25">
      <c r="A1064" s="31" t="s">
        <v>1749</v>
      </c>
    </row>
    <row r="1065" spans="1:1" ht="15" x14ac:dyDescent="0.25">
      <c r="A1065" s="31" t="s">
        <v>1750</v>
      </c>
    </row>
    <row r="1066" spans="1:1" ht="15" x14ac:dyDescent="0.25">
      <c r="A1066" s="31" t="s">
        <v>1751</v>
      </c>
    </row>
    <row r="1067" spans="1:1" ht="15" x14ac:dyDescent="0.25">
      <c r="A1067" s="31" t="s">
        <v>1752</v>
      </c>
    </row>
    <row r="1068" spans="1:1" ht="15" x14ac:dyDescent="0.25">
      <c r="A1068" s="31" t="s">
        <v>1753</v>
      </c>
    </row>
    <row r="1069" spans="1:1" ht="15" x14ac:dyDescent="0.25">
      <c r="A1069" s="31" t="s">
        <v>1754</v>
      </c>
    </row>
    <row r="1070" spans="1:1" ht="15" x14ac:dyDescent="0.25">
      <c r="A1070" s="31" t="s">
        <v>1755</v>
      </c>
    </row>
    <row r="1071" spans="1:1" ht="15" x14ac:dyDescent="0.25">
      <c r="A1071" s="31" t="s">
        <v>1756</v>
      </c>
    </row>
    <row r="1072" spans="1:1" ht="15" x14ac:dyDescent="0.25">
      <c r="A1072" s="31" t="s">
        <v>1757</v>
      </c>
    </row>
    <row r="1073" spans="1:1" ht="15" x14ac:dyDescent="0.25">
      <c r="A1073" s="31" t="s">
        <v>1758</v>
      </c>
    </row>
    <row r="1074" spans="1:1" ht="15" x14ac:dyDescent="0.25">
      <c r="A1074" s="31" t="s">
        <v>1759</v>
      </c>
    </row>
    <row r="1075" spans="1:1" ht="15" x14ac:dyDescent="0.25">
      <c r="A1075" s="31" t="s">
        <v>1760</v>
      </c>
    </row>
    <row r="1076" spans="1:1" ht="15" x14ac:dyDescent="0.25">
      <c r="A1076" s="31" t="s">
        <v>1761</v>
      </c>
    </row>
    <row r="1077" spans="1:1" ht="15" x14ac:dyDescent="0.25">
      <c r="A1077" s="31" t="s">
        <v>1762</v>
      </c>
    </row>
    <row r="1078" spans="1:1" ht="15" x14ac:dyDescent="0.25">
      <c r="A1078" s="31" t="s">
        <v>1763</v>
      </c>
    </row>
    <row r="1079" spans="1:1" ht="15" x14ac:dyDescent="0.25">
      <c r="A1079" s="31" t="s">
        <v>1764</v>
      </c>
    </row>
    <row r="1080" spans="1:1" ht="15" x14ac:dyDescent="0.25">
      <c r="A1080" s="31" t="s">
        <v>1765</v>
      </c>
    </row>
    <row r="1081" spans="1:1" ht="15" x14ac:dyDescent="0.25">
      <c r="A1081" s="31" t="s">
        <v>1766</v>
      </c>
    </row>
    <row r="1082" spans="1:1" ht="15" x14ac:dyDescent="0.25">
      <c r="A1082" s="31" t="s">
        <v>1767</v>
      </c>
    </row>
    <row r="1083" spans="1:1" ht="15" x14ac:dyDescent="0.25">
      <c r="A1083" s="31" t="s">
        <v>1768</v>
      </c>
    </row>
    <row r="1084" spans="1:1" ht="15" x14ac:dyDescent="0.25">
      <c r="A1084" s="31" t="s">
        <v>1769</v>
      </c>
    </row>
    <row r="1085" spans="1:1" ht="15" x14ac:dyDescent="0.25">
      <c r="A1085" s="31" t="s">
        <v>1770</v>
      </c>
    </row>
    <row r="1086" spans="1:1" ht="15" x14ac:dyDescent="0.25">
      <c r="A1086" s="31" t="s">
        <v>1771</v>
      </c>
    </row>
    <row r="1087" spans="1:1" ht="15" x14ac:dyDescent="0.25">
      <c r="A1087" s="31" t="s">
        <v>1772</v>
      </c>
    </row>
    <row r="1088" spans="1:1" ht="15" x14ac:dyDescent="0.25">
      <c r="A1088" s="31" t="s">
        <v>1773</v>
      </c>
    </row>
    <row r="1089" spans="1:1" ht="15" x14ac:dyDescent="0.25">
      <c r="A1089" s="31" t="s">
        <v>1774</v>
      </c>
    </row>
    <row r="1090" spans="1:1" ht="15" x14ac:dyDescent="0.25">
      <c r="A1090" s="31" t="s">
        <v>1775</v>
      </c>
    </row>
    <row r="1091" spans="1:1" ht="15" x14ac:dyDescent="0.25">
      <c r="A1091" s="31" t="s">
        <v>1776</v>
      </c>
    </row>
    <row r="1092" spans="1:1" ht="15" x14ac:dyDescent="0.25">
      <c r="A1092" s="31" t="s">
        <v>1777</v>
      </c>
    </row>
    <row r="1093" spans="1:1" ht="15" x14ac:dyDescent="0.25">
      <c r="A1093" s="31" t="s">
        <v>1778</v>
      </c>
    </row>
    <row r="1094" spans="1:1" ht="15" x14ac:dyDescent="0.25">
      <c r="A1094" s="31" t="s">
        <v>1779</v>
      </c>
    </row>
    <row r="1095" spans="1:1" ht="15" x14ac:dyDescent="0.25">
      <c r="A1095" s="31" t="s">
        <v>1780</v>
      </c>
    </row>
    <row r="1096" spans="1:1" ht="15" x14ac:dyDescent="0.25">
      <c r="A1096" s="31" t="s">
        <v>1781</v>
      </c>
    </row>
    <row r="1097" spans="1:1" ht="15" x14ac:dyDescent="0.25">
      <c r="A1097" s="31" t="s">
        <v>1782</v>
      </c>
    </row>
    <row r="1098" spans="1:1" ht="15" x14ac:dyDescent="0.25">
      <c r="A1098" s="31" t="s">
        <v>1783</v>
      </c>
    </row>
    <row r="1099" spans="1:1" ht="15" x14ac:dyDescent="0.25">
      <c r="A1099" s="31" t="s">
        <v>1784</v>
      </c>
    </row>
    <row r="1100" spans="1:1" ht="15" x14ac:dyDescent="0.25">
      <c r="A1100" s="31" t="s">
        <v>1785</v>
      </c>
    </row>
    <row r="1101" spans="1:1" ht="15" x14ac:dyDescent="0.25">
      <c r="A1101" s="31" t="s">
        <v>1786</v>
      </c>
    </row>
    <row r="1102" spans="1:1" ht="15" x14ac:dyDescent="0.25">
      <c r="A1102" s="31" t="s">
        <v>1787</v>
      </c>
    </row>
    <row r="1103" spans="1:1" ht="15" x14ac:dyDescent="0.25">
      <c r="A1103" s="31" t="s">
        <v>1788</v>
      </c>
    </row>
    <row r="1104" spans="1:1" ht="15" x14ac:dyDescent="0.25">
      <c r="A1104" s="31" t="s">
        <v>1789</v>
      </c>
    </row>
    <row r="1105" spans="1:1" ht="15" x14ac:dyDescent="0.25">
      <c r="A1105" s="31" t="s">
        <v>1790</v>
      </c>
    </row>
    <row r="1106" spans="1:1" ht="15" x14ac:dyDescent="0.25">
      <c r="A1106" s="31" t="s">
        <v>1791</v>
      </c>
    </row>
    <row r="1107" spans="1:1" ht="15" x14ac:dyDescent="0.25">
      <c r="A1107" s="31" t="s">
        <v>1792</v>
      </c>
    </row>
    <row r="1108" spans="1:1" ht="15" x14ac:dyDescent="0.25">
      <c r="A1108" s="31" t="s">
        <v>1793</v>
      </c>
    </row>
    <row r="1109" spans="1:1" ht="15" x14ac:dyDescent="0.25">
      <c r="A1109" s="31" t="s">
        <v>1794</v>
      </c>
    </row>
    <row r="1110" spans="1:1" ht="15" x14ac:dyDescent="0.25">
      <c r="A1110" s="31" t="s">
        <v>1795</v>
      </c>
    </row>
    <row r="1111" spans="1:1" ht="15" x14ac:dyDescent="0.25">
      <c r="A1111" s="31" t="s">
        <v>1796</v>
      </c>
    </row>
    <row r="1112" spans="1:1" ht="15" x14ac:dyDescent="0.25">
      <c r="A1112" s="31" t="s">
        <v>1797</v>
      </c>
    </row>
    <row r="1113" spans="1:1" ht="15" x14ac:dyDescent="0.25">
      <c r="A1113" s="31" t="s">
        <v>1798</v>
      </c>
    </row>
    <row r="1114" spans="1:1" ht="15" x14ac:dyDescent="0.25">
      <c r="A1114" s="31" t="s">
        <v>1799</v>
      </c>
    </row>
    <row r="1115" spans="1:1" ht="15" x14ac:dyDescent="0.25">
      <c r="A1115" s="31" t="s">
        <v>1800</v>
      </c>
    </row>
    <row r="1116" spans="1:1" ht="15" x14ac:dyDescent="0.25">
      <c r="A1116" s="31" t="s">
        <v>1801</v>
      </c>
    </row>
    <row r="1117" spans="1:1" ht="15" x14ac:dyDescent="0.25">
      <c r="A1117" s="31" t="s">
        <v>1802</v>
      </c>
    </row>
    <row r="1118" spans="1:1" ht="15" x14ac:dyDescent="0.25">
      <c r="A1118" s="31" t="s">
        <v>1803</v>
      </c>
    </row>
    <row r="1119" spans="1:1" ht="15" x14ac:dyDescent="0.25">
      <c r="A1119" s="31" t="s">
        <v>1804</v>
      </c>
    </row>
    <row r="1120" spans="1:1" ht="15" x14ac:dyDescent="0.25">
      <c r="A1120" s="31" t="s">
        <v>1805</v>
      </c>
    </row>
    <row r="1121" spans="1:1" ht="15" x14ac:dyDescent="0.25">
      <c r="A1121" s="31" t="s">
        <v>1806</v>
      </c>
    </row>
    <row r="1122" spans="1:1" ht="15" x14ac:dyDescent="0.25">
      <c r="A1122" s="31" t="s">
        <v>1807</v>
      </c>
    </row>
    <row r="1123" spans="1:1" ht="15" x14ac:dyDescent="0.25">
      <c r="A1123" s="31" t="s">
        <v>1808</v>
      </c>
    </row>
    <row r="1124" spans="1:1" ht="15" x14ac:dyDescent="0.25">
      <c r="A1124" s="31" t="s">
        <v>1809</v>
      </c>
    </row>
    <row r="1125" spans="1:1" ht="15" x14ac:dyDescent="0.25">
      <c r="A1125" s="31" t="s">
        <v>1810</v>
      </c>
    </row>
    <row r="1126" spans="1:1" ht="15" x14ac:dyDescent="0.25">
      <c r="A1126" s="31" t="s">
        <v>1811</v>
      </c>
    </row>
    <row r="1127" spans="1:1" ht="15" x14ac:dyDescent="0.25">
      <c r="A1127" s="31" t="s">
        <v>1812</v>
      </c>
    </row>
    <row r="1128" spans="1:1" ht="15" x14ac:dyDescent="0.25">
      <c r="A1128" s="31" t="s">
        <v>1813</v>
      </c>
    </row>
    <row r="1129" spans="1:1" ht="15" x14ac:dyDescent="0.25">
      <c r="A1129" s="31" t="s">
        <v>1814</v>
      </c>
    </row>
    <row r="1130" spans="1:1" ht="15" x14ac:dyDescent="0.25">
      <c r="A1130" s="31" t="s">
        <v>1815</v>
      </c>
    </row>
    <row r="1131" spans="1:1" ht="15" x14ac:dyDescent="0.25">
      <c r="A1131" s="31" t="s">
        <v>1816</v>
      </c>
    </row>
    <row r="1132" spans="1:1" ht="15" x14ac:dyDescent="0.25">
      <c r="A1132" s="31" t="s">
        <v>1817</v>
      </c>
    </row>
    <row r="1133" spans="1:1" ht="15" x14ac:dyDescent="0.25">
      <c r="A1133" s="31" t="s">
        <v>1818</v>
      </c>
    </row>
    <row r="1134" spans="1:1" ht="15" x14ac:dyDescent="0.25">
      <c r="A1134" s="31" t="s">
        <v>1819</v>
      </c>
    </row>
    <row r="1135" spans="1:1" ht="15" x14ac:dyDescent="0.25">
      <c r="A1135" s="31" t="s">
        <v>1820</v>
      </c>
    </row>
    <row r="1136" spans="1:1" ht="15" x14ac:dyDescent="0.25">
      <c r="A1136" s="31" t="s">
        <v>1821</v>
      </c>
    </row>
    <row r="1137" spans="1:1" ht="15" x14ac:dyDescent="0.25">
      <c r="A1137" s="31" t="s">
        <v>1822</v>
      </c>
    </row>
    <row r="1138" spans="1:1" ht="15" x14ac:dyDescent="0.25">
      <c r="A1138" s="31" t="s">
        <v>1823</v>
      </c>
    </row>
    <row r="1139" spans="1:1" ht="15" x14ac:dyDescent="0.25">
      <c r="A1139" s="31" t="s">
        <v>1824</v>
      </c>
    </row>
    <row r="1140" spans="1:1" ht="15" x14ac:dyDescent="0.25">
      <c r="A1140" s="31" t="s">
        <v>1825</v>
      </c>
    </row>
    <row r="1141" spans="1:1" ht="15" x14ac:dyDescent="0.25">
      <c r="A1141" s="31" t="s">
        <v>1826</v>
      </c>
    </row>
    <row r="1142" spans="1:1" ht="15" x14ac:dyDescent="0.25">
      <c r="A1142" s="31" t="s">
        <v>1827</v>
      </c>
    </row>
    <row r="1143" spans="1:1" ht="15" x14ac:dyDescent="0.25">
      <c r="A1143" s="31" t="s">
        <v>1828</v>
      </c>
    </row>
    <row r="1144" spans="1:1" ht="15" x14ac:dyDescent="0.25">
      <c r="A1144" s="31" t="s">
        <v>1829</v>
      </c>
    </row>
    <row r="1145" spans="1:1" ht="15" x14ac:dyDescent="0.25">
      <c r="A1145" s="31" t="s">
        <v>1830</v>
      </c>
    </row>
    <row r="1146" spans="1:1" ht="15" x14ac:dyDescent="0.25">
      <c r="A1146" s="31" t="s">
        <v>1831</v>
      </c>
    </row>
    <row r="1147" spans="1:1" ht="15" x14ac:dyDescent="0.25">
      <c r="A1147" s="31" t="s">
        <v>1832</v>
      </c>
    </row>
    <row r="1148" spans="1:1" ht="15" x14ac:dyDescent="0.25">
      <c r="A1148" s="31" t="s">
        <v>1833</v>
      </c>
    </row>
    <row r="1149" spans="1:1" ht="15" x14ac:dyDescent="0.25">
      <c r="A1149" s="31" t="s">
        <v>1834</v>
      </c>
    </row>
    <row r="1150" spans="1:1" ht="15" x14ac:dyDescent="0.25">
      <c r="A1150" s="31" t="s">
        <v>1835</v>
      </c>
    </row>
    <row r="1151" spans="1:1" ht="15" x14ac:dyDescent="0.25">
      <c r="A1151" s="31" t="s">
        <v>1836</v>
      </c>
    </row>
    <row r="1152" spans="1:1" ht="15" x14ac:dyDescent="0.25">
      <c r="A1152" s="31" t="s">
        <v>1837</v>
      </c>
    </row>
    <row r="1153" spans="1:1" ht="15" x14ac:dyDescent="0.25">
      <c r="A1153" s="31" t="s">
        <v>1838</v>
      </c>
    </row>
    <row r="1154" spans="1:1" ht="15" x14ac:dyDescent="0.25">
      <c r="A1154" s="31" t="s">
        <v>1839</v>
      </c>
    </row>
    <row r="1155" spans="1:1" ht="15" x14ac:dyDescent="0.25">
      <c r="A1155" s="31" t="s">
        <v>1840</v>
      </c>
    </row>
    <row r="1156" spans="1:1" ht="15" x14ac:dyDescent="0.25">
      <c r="A1156" s="31" t="s">
        <v>1841</v>
      </c>
    </row>
    <row r="1157" spans="1:1" ht="15" x14ac:dyDescent="0.25">
      <c r="A1157" s="31" t="s">
        <v>1842</v>
      </c>
    </row>
    <row r="1158" spans="1:1" ht="15" x14ac:dyDescent="0.25">
      <c r="A1158" s="31" t="s">
        <v>1843</v>
      </c>
    </row>
    <row r="1159" spans="1:1" ht="15" x14ac:dyDescent="0.25">
      <c r="A1159" s="31" t="s">
        <v>1844</v>
      </c>
    </row>
    <row r="1160" spans="1:1" ht="15" x14ac:dyDescent="0.25">
      <c r="A1160" s="31" t="s">
        <v>1845</v>
      </c>
    </row>
    <row r="1161" spans="1:1" ht="15" x14ac:dyDescent="0.25">
      <c r="A1161" s="31" t="s">
        <v>1846</v>
      </c>
    </row>
    <row r="1162" spans="1:1" ht="15" x14ac:dyDescent="0.25">
      <c r="A1162" s="31" t="s">
        <v>1847</v>
      </c>
    </row>
    <row r="1163" spans="1:1" ht="15" x14ac:dyDescent="0.25">
      <c r="A1163" s="31" t="s">
        <v>1848</v>
      </c>
    </row>
    <row r="1164" spans="1:1" ht="15" x14ac:dyDescent="0.25">
      <c r="A1164" s="31" t="s">
        <v>1849</v>
      </c>
    </row>
    <row r="1165" spans="1:1" ht="15" x14ac:dyDescent="0.25">
      <c r="A1165" s="31" t="s">
        <v>1850</v>
      </c>
    </row>
    <row r="1166" spans="1:1" ht="15" x14ac:dyDescent="0.25">
      <c r="A1166" s="31" t="s">
        <v>1851</v>
      </c>
    </row>
    <row r="1167" spans="1:1" ht="15" x14ac:dyDescent="0.25">
      <c r="A1167" s="31" t="s">
        <v>1852</v>
      </c>
    </row>
    <row r="1168" spans="1:1" ht="15" x14ac:dyDescent="0.25">
      <c r="A1168" s="31" t="s">
        <v>1853</v>
      </c>
    </row>
    <row r="1169" spans="1:1" ht="15" x14ac:dyDescent="0.25">
      <c r="A1169" s="31" t="s">
        <v>1854</v>
      </c>
    </row>
    <row r="1170" spans="1:1" ht="15" x14ac:dyDescent="0.25">
      <c r="A1170" s="31" t="s">
        <v>1855</v>
      </c>
    </row>
    <row r="1171" spans="1:1" ht="15" x14ac:dyDescent="0.25">
      <c r="A1171" s="31" t="s">
        <v>1856</v>
      </c>
    </row>
    <row r="1172" spans="1:1" ht="15" x14ac:dyDescent="0.25">
      <c r="A1172" s="31" t="s">
        <v>1857</v>
      </c>
    </row>
    <row r="1173" spans="1:1" ht="15" x14ac:dyDescent="0.25">
      <c r="A1173" s="31" t="s">
        <v>1858</v>
      </c>
    </row>
    <row r="1174" spans="1:1" ht="15" x14ac:dyDescent="0.25">
      <c r="A1174" s="31" t="s">
        <v>1859</v>
      </c>
    </row>
    <row r="1175" spans="1:1" ht="15" x14ac:dyDescent="0.25">
      <c r="A1175" s="31" t="s">
        <v>1860</v>
      </c>
    </row>
    <row r="1176" spans="1:1" ht="15" x14ac:dyDescent="0.25">
      <c r="A1176" s="31" t="s">
        <v>1861</v>
      </c>
    </row>
    <row r="1177" spans="1:1" ht="15" x14ac:dyDescent="0.25">
      <c r="A1177" s="31" t="s">
        <v>1862</v>
      </c>
    </row>
    <row r="1178" spans="1:1" ht="15" x14ac:dyDescent="0.25">
      <c r="A1178" s="31" t="s">
        <v>1863</v>
      </c>
    </row>
    <row r="1179" spans="1:1" ht="15" x14ac:dyDescent="0.25">
      <c r="A1179" s="31" t="s">
        <v>1864</v>
      </c>
    </row>
    <row r="1180" spans="1:1" ht="15" x14ac:dyDescent="0.25">
      <c r="A1180" s="31" t="s">
        <v>1865</v>
      </c>
    </row>
    <row r="1181" spans="1:1" ht="15" x14ac:dyDescent="0.25">
      <c r="A1181" s="31" t="s">
        <v>1866</v>
      </c>
    </row>
    <row r="1182" spans="1:1" ht="15" x14ac:dyDescent="0.25">
      <c r="A1182" s="31" t="s">
        <v>1867</v>
      </c>
    </row>
    <row r="1183" spans="1:1" ht="15" x14ac:dyDescent="0.25">
      <c r="A1183" s="31" t="s">
        <v>1868</v>
      </c>
    </row>
    <row r="1184" spans="1:1" ht="15" x14ac:dyDescent="0.25">
      <c r="A1184" s="31" t="s">
        <v>1869</v>
      </c>
    </row>
    <row r="1185" spans="1:1" ht="15" x14ac:dyDescent="0.25">
      <c r="A1185" s="31" t="s">
        <v>1870</v>
      </c>
    </row>
    <row r="1186" spans="1:1" ht="15" x14ac:dyDescent="0.25">
      <c r="A1186" s="31" t="s">
        <v>1871</v>
      </c>
    </row>
    <row r="1187" spans="1:1" ht="15" x14ac:dyDescent="0.25">
      <c r="A1187" s="31" t="s">
        <v>1872</v>
      </c>
    </row>
    <row r="1188" spans="1:1" ht="15" x14ac:dyDescent="0.25">
      <c r="A1188" s="31" t="s">
        <v>1873</v>
      </c>
    </row>
    <row r="1189" spans="1:1" ht="15" x14ac:dyDescent="0.25">
      <c r="A1189" s="31" t="s">
        <v>1874</v>
      </c>
    </row>
    <row r="1190" spans="1:1" ht="15" x14ac:dyDescent="0.25">
      <c r="A1190" s="31" t="s">
        <v>1875</v>
      </c>
    </row>
    <row r="1191" spans="1:1" ht="15" x14ac:dyDescent="0.25">
      <c r="A1191" s="31" t="s">
        <v>1876</v>
      </c>
    </row>
    <row r="1192" spans="1:1" ht="15" x14ac:dyDescent="0.25">
      <c r="A1192" s="31" t="s">
        <v>1877</v>
      </c>
    </row>
    <row r="1193" spans="1:1" ht="15" x14ac:dyDescent="0.25">
      <c r="A1193" s="31" t="s">
        <v>1878</v>
      </c>
    </row>
    <row r="1194" spans="1:1" ht="15" x14ac:dyDescent="0.25">
      <c r="A1194" s="31" t="s">
        <v>1879</v>
      </c>
    </row>
    <row r="1195" spans="1:1" ht="15" x14ac:dyDescent="0.25">
      <c r="A1195" s="31" t="s">
        <v>1880</v>
      </c>
    </row>
    <row r="1196" spans="1:1" ht="15" x14ac:dyDescent="0.25">
      <c r="A1196" s="31" t="s">
        <v>1881</v>
      </c>
    </row>
    <row r="1197" spans="1:1" ht="15" x14ac:dyDescent="0.25">
      <c r="A1197" s="31" t="s">
        <v>1882</v>
      </c>
    </row>
    <row r="1198" spans="1:1" ht="15" x14ac:dyDescent="0.25">
      <c r="A1198" s="31" t="s">
        <v>1883</v>
      </c>
    </row>
    <row r="1199" spans="1:1" ht="15" x14ac:dyDescent="0.25">
      <c r="A1199" s="31" t="s">
        <v>1884</v>
      </c>
    </row>
    <row r="1200" spans="1:1" ht="15" x14ac:dyDescent="0.25">
      <c r="A1200" s="31" t="s">
        <v>1885</v>
      </c>
    </row>
    <row r="1201" spans="1:1" ht="15" x14ac:dyDescent="0.25">
      <c r="A1201" s="31" t="s">
        <v>1886</v>
      </c>
    </row>
    <row r="1202" spans="1:1" ht="15" x14ac:dyDescent="0.25">
      <c r="A1202" s="31" t="s">
        <v>1887</v>
      </c>
    </row>
    <row r="1203" spans="1:1" ht="15" x14ac:dyDescent="0.25">
      <c r="A1203" s="31" t="s">
        <v>1888</v>
      </c>
    </row>
    <row r="1204" spans="1:1" ht="15" x14ac:dyDescent="0.25">
      <c r="A1204" s="31" t="s">
        <v>1889</v>
      </c>
    </row>
    <row r="1205" spans="1:1" ht="15" x14ac:dyDescent="0.25">
      <c r="A1205" s="31" t="s">
        <v>1890</v>
      </c>
    </row>
    <row r="1206" spans="1:1" ht="15" x14ac:dyDescent="0.25">
      <c r="A1206" s="31" t="s">
        <v>1891</v>
      </c>
    </row>
    <row r="1207" spans="1:1" ht="15" x14ac:dyDescent="0.25">
      <c r="A1207" s="31" t="s">
        <v>1892</v>
      </c>
    </row>
    <row r="1208" spans="1:1" ht="15" x14ac:dyDescent="0.25">
      <c r="A1208" s="31" t="s">
        <v>1893</v>
      </c>
    </row>
    <row r="1209" spans="1:1" ht="15" x14ac:dyDescent="0.25">
      <c r="A1209" s="31" t="s">
        <v>1894</v>
      </c>
    </row>
    <row r="1210" spans="1:1" ht="15" x14ac:dyDescent="0.25">
      <c r="A1210" s="31" t="s">
        <v>1895</v>
      </c>
    </row>
    <row r="1211" spans="1:1" ht="15" x14ac:dyDescent="0.25">
      <c r="A1211" s="31" t="s">
        <v>1896</v>
      </c>
    </row>
    <row r="1212" spans="1:1" ht="15" x14ac:dyDescent="0.25">
      <c r="A1212" s="31" t="s">
        <v>1897</v>
      </c>
    </row>
    <row r="1213" spans="1:1" ht="15" x14ac:dyDescent="0.25">
      <c r="A1213" s="31" t="s">
        <v>1898</v>
      </c>
    </row>
    <row r="1214" spans="1:1" ht="15" x14ac:dyDescent="0.25">
      <c r="A1214" s="31" t="s">
        <v>1899</v>
      </c>
    </row>
    <row r="1215" spans="1:1" ht="15" x14ac:dyDescent="0.25">
      <c r="A1215" s="31" t="s">
        <v>1900</v>
      </c>
    </row>
    <row r="1216" spans="1:1" ht="15" x14ac:dyDescent="0.25">
      <c r="A1216" s="31" t="s">
        <v>1901</v>
      </c>
    </row>
    <row r="1217" spans="1:1" ht="15" x14ac:dyDescent="0.25">
      <c r="A1217" s="31" t="s">
        <v>1902</v>
      </c>
    </row>
    <row r="1218" spans="1:1" ht="15" x14ac:dyDescent="0.25">
      <c r="A1218" s="31" t="s">
        <v>1903</v>
      </c>
    </row>
    <row r="1219" spans="1:1" ht="15" x14ac:dyDescent="0.25">
      <c r="A1219" s="31" t="s">
        <v>1904</v>
      </c>
    </row>
    <row r="1220" spans="1:1" ht="15" x14ac:dyDescent="0.25">
      <c r="A1220" s="31" t="s">
        <v>1905</v>
      </c>
    </row>
    <row r="1221" spans="1:1" ht="15" x14ac:dyDescent="0.25">
      <c r="A1221" s="31" t="s">
        <v>1906</v>
      </c>
    </row>
    <row r="1222" spans="1:1" ht="15" x14ac:dyDescent="0.25">
      <c r="A1222" s="31" t="s">
        <v>1907</v>
      </c>
    </row>
    <row r="1223" spans="1:1" ht="15" x14ac:dyDescent="0.25">
      <c r="A1223" s="31" t="s">
        <v>1908</v>
      </c>
    </row>
    <row r="1224" spans="1:1" ht="15" x14ac:dyDescent="0.25">
      <c r="A1224" s="31" t="s">
        <v>1909</v>
      </c>
    </row>
    <row r="1225" spans="1:1" ht="15" x14ac:dyDescent="0.25">
      <c r="A1225" s="31" t="s">
        <v>1910</v>
      </c>
    </row>
    <row r="1226" spans="1:1" ht="15" x14ac:dyDescent="0.25">
      <c r="A1226" s="31" t="s">
        <v>1911</v>
      </c>
    </row>
    <row r="1227" spans="1:1" ht="15" x14ac:dyDescent="0.25">
      <c r="A1227" s="31" t="s">
        <v>1912</v>
      </c>
    </row>
    <row r="1228" spans="1:1" ht="15" x14ac:dyDescent="0.25">
      <c r="A1228" s="31" t="s">
        <v>1913</v>
      </c>
    </row>
    <row r="1229" spans="1:1" ht="15" x14ac:dyDescent="0.25">
      <c r="A1229" s="31" t="s">
        <v>1914</v>
      </c>
    </row>
    <row r="1230" spans="1:1" ht="15" x14ac:dyDescent="0.25">
      <c r="A1230" s="31" t="s">
        <v>1915</v>
      </c>
    </row>
    <row r="1231" spans="1:1" ht="15" x14ac:dyDescent="0.25">
      <c r="A1231" s="31" t="s">
        <v>1916</v>
      </c>
    </row>
    <row r="1232" spans="1:1" ht="15" x14ac:dyDescent="0.25">
      <c r="A1232" s="31" t="s">
        <v>1917</v>
      </c>
    </row>
    <row r="1233" spans="1:1" ht="15" x14ac:dyDescent="0.25">
      <c r="A1233" s="31" t="s">
        <v>1918</v>
      </c>
    </row>
    <row r="1234" spans="1:1" ht="15" x14ac:dyDescent="0.25">
      <c r="A1234" s="31" t="s">
        <v>1919</v>
      </c>
    </row>
    <row r="1235" spans="1:1" ht="15" x14ac:dyDescent="0.25">
      <c r="A1235" s="31" t="s">
        <v>1920</v>
      </c>
    </row>
    <row r="1236" spans="1:1" ht="15" x14ac:dyDescent="0.25">
      <c r="A1236" s="31" t="s">
        <v>1921</v>
      </c>
    </row>
    <row r="1237" spans="1:1" ht="15" x14ac:dyDescent="0.25">
      <c r="A1237" s="31" t="s">
        <v>1922</v>
      </c>
    </row>
    <row r="1238" spans="1:1" ht="15" x14ac:dyDescent="0.25">
      <c r="A1238" s="31" t="s">
        <v>1923</v>
      </c>
    </row>
    <row r="1239" spans="1:1" ht="15" x14ac:dyDescent="0.25">
      <c r="A1239" s="31" t="s">
        <v>1924</v>
      </c>
    </row>
    <row r="1240" spans="1:1" ht="15" x14ac:dyDescent="0.25">
      <c r="A1240" s="31" t="s">
        <v>1925</v>
      </c>
    </row>
    <row r="1241" spans="1:1" ht="15" x14ac:dyDescent="0.25">
      <c r="A1241" s="31" t="s">
        <v>1926</v>
      </c>
    </row>
    <row r="1242" spans="1:1" ht="15" x14ac:dyDescent="0.25">
      <c r="A1242" s="31" t="s">
        <v>1927</v>
      </c>
    </row>
    <row r="1243" spans="1:1" ht="15" x14ac:dyDescent="0.25">
      <c r="A1243" s="31" t="s">
        <v>1928</v>
      </c>
    </row>
    <row r="1244" spans="1:1" ht="15" x14ac:dyDescent="0.25">
      <c r="A1244" s="31" t="s">
        <v>1929</v>
      </c>
    </row>
    <row r="1245" spans="1:1" ht="15" x14ac:dyDescent="0.25">
      <c r="A1245" s="31" t="s">
        <v>1930</v>
      </c>
    </row>
    <row r="1246" spans="1:1" ht="15" x14ac:dyDescent="0.25">
      <c r="A1246" s="31" t="s">
        <v>1931</v>
      </c>
    </row>
    <row r="1247" spans="1:1" ht="15" x14ac:dyDescent="0.25">
      <c r="A1247" s="31" t="s">
        <v>1932</v>
      </c>
    </row>
    <row r="1248" spans="1:1" ht="15" x14ac:dyDescent="0.25">
      <c r="A1248" s="31" t="s">
        <v>1933</v>
      </c>
    </row>
    <row r="1249" spans="1:1" ht="15" x14ac:dyDescent="0.25">
      <c r="A1249" s="31" t="s">
        <v>1934</v>
      </c>
    </row>
    <row r="1250" spans="1:1" ht="15" x14ac:dyDescent="0.25">
      <c r="A1250" s="31" t="s">
        <v>1935</v>
      </c>
    </row>
    <row r="1251" spans="1:1" ht="15" x14ac:dyDescent="0.25">
      <c r="A1251" s="31" t="s">
        <v>1936</v>
      </c>
    </row>
    <row r="1252" spans="1:1" ht="15" x14ac:dyDescent="0.25">
      <c r="A1252" s="31" t="s">
        <v>1937</v>
      </c>
    </row>
    <row r="1253" spans="1:1" ht="15" x14ac:dyDescent="0.25">
      <c r="A1253" s="31" t="s">
        <v>1938</v>
      </c>
    </row>
    <row r="1254" spans="1:1" ht="15" x14ac:dyDescent="0.25">
      <c r="A1254" s="31" t="s">
        <v>1939</v>
      </c>
    </row>
    <row r="1255" spans="1:1" ht="15" x14ac:dyDescent="0.25">
      <c r="A1255" s="31" t="s">
        <v>1940</v>
      </c>
    </row>
    <row r="1256" spans="1:1" ht="15" x14ac:dyDescent="0.25">
      <c r="A1256" s="31" t="s">
        <v>1941</v>
      </c>
    </row>
    <row r="1257" spans="1:1" ht="15" x14ac:dyDescent="0.25">
      <c r="A1257" s="31" t="s">
        <v>1942</v>
      </c>
    </row>
    <row r="1258" spans="1:1" ht="15" x14ac:dyDescent="0.25">
      <c r="A1258" s="31" t="s">
        <v>1943</v>
      </c>
    </row>
    <row r="1259" spans="1:1" ht="15" x14ac:dyDescent="0.25">
      <c r="A1259" s="31" t="s">
        <v>1944</v>
      </c>
    </row>
    <row r="1260" spans="1:1" ht="15" x14ac:dyDescent="0.25">
      <c r="A1260" s="31" t="s">
        <v>1945</v>
      </c>
    </row>
    <row r="1261" spans="1:1" ht="15" x14ac:dyDescent="0.25">
      <c r="A1261" s="31" t="s">
        <v>1946</v>
      </c>
    </row>
    <row r="1262" spans="1:1" ht="15" x14ac:dyDescent="0.25">
      <c r="A1262" s="31" t="s">
        <v>1947</v>
      </c>
    </row>
    <row r="1263" spans="1:1" ht="15" x14ac:dyDescent="0.25">
      <c r="A1263" s="31" t="s">
        <v>1948</v>
      </c>
    </row>
    <row r="1264" spans="1:1" ht="15" x14ac:dyDescent="0.25">
      <c r="A1264" s="31" t="s">
        <v>1949</v>
      </c>
    </row>
    <row r="1265" spans="1:1" ht="15" x14ac:dyDescent="0.25">
      <c r="A1265" s="31" t="s">
        <v>1950</v>
      </c>
    </row>
    <row r="1266" spans="1:1" ht="15" x14ac:dyDescent="0.25">
      <c r="A1266" s="31" t="s">
        <v>1951</v>
      </c>
    </row>
    <row r="1267" spans="1:1" ht="15" x14ac:dyDescent="0.25">
      <c r="A1267" s="31" t="s">
        <v>1952</v>
      </c>
    </row>
    <row r="1268" spans="1:1" ht="15" x14ac:dyDescent="0.25">
      <c r="A1268" s="31" t="s">
        <v>1953</v>
      </c>
    </row>
    <row r="1269" spans="1:1" ht="15" x14ac:dyDescent="0.25">
      <c r="A1269" s="31" t="s">
        <v>1954</v>
      </c>
    </row>
    <row r="1270" spans="1:1" ht="15" x14ac:dyDescent="0.25">
      <c r="A1270" s="31" t="s">
        <v>1955</v>
      </c>
    </row>
    <row r="1271" spans="1:1" ht="15" x14ac:dyDescent="0.25">
      <c r="A1271" s="31" t="s">
        <v>1956</v>
      </c>
    </row>
    <row r="1272" spans="1:1" ht="15" x14ac:dyDescent="0.25">
      <c r="A1272" s="31" t="s">
        <v>1957</v>
      </c>
    </row>
    <row r="1273" spans="1:1" ht="15" x14ac:dyDescent="0.25">
      <c r="A1273" s="31" t="s">
        <v>1958</v>
      </c>
    </row>
    <row r="1274" spans="1:1" ht="15" x14ac:dyDescent="0.25">
      <c r="A1274" s="31" t="s">
        <v>1959</v>
      </c>
    </row>
    <row r="1275" spans="1:1" ht="15" x14ac:dyDescent="0.25">
      <c r="A1275" s="31" t="s">
        <v>1960</v>
      </c>
    </row>
    <row r="1276" spans="1:1" ht="15" x14ac:dyDescent="0.25">
      <c r="A1276" s="31" t="s">
        <v>1961</v>
      </c>
    </row>
    <row r="1277" spans="1:1" ht="15" x14ac:dyDescent="0.25">
      <c r="A1277" s="31" t="s">
        <v>1962</v>
      </c>
    </row>
    <row r="1278" spans="1:1" ht="15" x14ac:dyDescent="0.25">
      <c r="A1278" s="31" t="s">
        <v>1963</v>
      </c>
    </row>
    <row r="1279" spans="1:1" ht="15" x14ac:dyDescent="0.25">
      <c r="A1279" s="31" t="s">
        <v>1964</v>
      </c>
    </row>
    <row r="1280" spans="1:1" ht="15" x14ac:dyDescent="0.25">
      <c r="A1280" s="31" t="s">
        <v>1965</v>
      </c>
    </row>
    <row r="1281" spans="1:1" ht="15" x14ac:dyDescent="0.25">
      <c r="A1281" s="31" t="s">
        <v>1966</v>
      </c>
    </row>
    <row r="1282" spans="1:1" ht="15" x14ac:dyDescent="0.25">
      <c r="A1282" s="31" t="s">
        <v>1967</v>
      </c>
    </row>
    <row r="1283" spans="1:1" ht="15" x14ac:dyDescent="0.25">
      <c r="A1283" s="31" t="s">
        <v>1968</v>
      </c>
    </row>
    <row r="1284" spans="1:1" ht="15" x14ac:dyDescent="0.25">
      <c r="A1284" s="31" t="s">
        <v>1969</v>
      </c>
    </row>
    <row r="1285" spans="1:1" ht="15" x14ac:dyDescent="0.25">
      <c r="A1285" s="31" t="s">
        <v>1970</v>
      </c>
    </row>
    <row r="1286" spans="1:1" ht="15" x14ac:dyDescent="0.25">
      <c r="A1286" s="31" t="s">
        <v>1971</v>
      </c>
    </row>
    <row r="1287" spans="1:1" ht="15" x14ac:dyDescent="0.25">
      <c r="A1287" s="31" t="s">
        <v>1972</v>
      </c>
    </row>
    <row r="1288" spans="1:1" ht="15" x14ac:dyDescent="0.25">
      <c r="A1288" s="31" t="s">
        <v>1973</v>
      </c>
    </row>
    <row r="1289" spans="1:1" ht="15" x14ac:dyDescent="0.25">
      <c r="A1289" s="31" t="s">
        <v>1974</v>
      </c>
    </row>
    <row r="1290" spans="1:1" ht="15" x14ac:dyDescent="0.25">
      <c r="A1290" s="31" t="s">
        <v>1975</v>
      </c>
    </row>
    <row r="1291" spans="1:1" ht="15" x14ac:dyDescent="0.25">
      <c r="A1291" s="31" t="s">
        <v>1976</v>
      </c>
    </row>
    <row r="1292" spans="1:1" ht="15" x14ac:dyDescent="0.25">
      <c r="A1292" s="31" t="s">
        <v>1977</v>
      </c>
    </row>
    <row r="1293" spans="1:1" ht="15" x14ac:dyDescent="0.25">
      <c r="A1293" s="31" t="s">
        <v>1978</v>
      </c>
    </row>
    <row r="1294" spans="1:1" ht="15" x14ac:dyDescent="0.25">
      <c r="A1294" s="31" t="s">
        <v>1979</v>
      </c>
    </row>
    <row r="1295" spans="1:1" ht="15" x14ac:dyDescent="0.25">
      <c r="A1295" s="31" t="s">
        <v>1980</v>
      </c>
    </row>
    <row r="1296" spans="1:1" ht="15" x14ac:dyDescent="0.25">
      <c r="A1296" s="31" t="s">
        <v>1981</v>
      </c>
    </row>
    <row r="1297" spans="1:1" ht="15" x14ac:dyDescent="0.25">
      <c r="A1297" s="31" t="s">
        <v>1982</v>
      </c>
    </row>
    <row r="1298" spans="1:1" ht="15" x14ac:dyDescent="0.25">
      <c r="A1298" s="31" t="s">
        <v>1983</v>
      </c>
    </row>
    <row r="1299" spans="1:1" ht="15" x14ac:dyDescent="0.25">
      <c r="A1299" s="31" t="s">
        <v>1984</v>
      </c>
    </row>
    <row r="1300" spans="1:1" ht="15" x14ac:dyDescent="0.25">
      <c r="A1300" s="31" t="s">
        <v>1985</v>
      </c>
    </row>
    <row r="1301" spans="1:1" ht="15" x14ac:dyDescent="0.25">
      <c r="A1301" s="31" t="s">
        <v>1986</v>
      </c>
    </row>
    <row r="1302" spans="1:1" ht="15" x14ac:dyDescent="0.25">
      <c r="A1302" s="31" t="s">
        <v>1987</v>
      </c>
    </row>
    <row r="1303" spans="1:1" ht="15" x14ac:dyDescent="0.25">
      <c r="A1303" s="31" t="s">
        <v>1988</v>
      </c>
    </row>
    <row r="1304" spans="1:1" ht="15" x14ac:dyDescent="0.25">
      <c r="A1304" s="31" t="s">
        <v>1989</v>
      </c>
    </row>
    <row r="1305" spans="1:1" ht="15" x14ac:dyDescent="0.25">
      <c r="A1305" s="31" t="s">
        <v>1990</v>
      </c>
    </row>
    <row r="1306" spans="1:1" ht="15" x14ac:dyDescent="0.25">
      <c r="A1306" s="31" t="s">
        <v>1991</v>
      </c>
    </row>
    <row r="1307" spans="1:1" ht="15" x14ac:dyDescent="0.25">
      <c r="A1307" s="31" t="s">
        <v>1992</v>
      </c>
    </row>
    <row r="1308" spans="1:1" ht="15" x14ac:dyDescent="0.25">
      <c r="A1308" s="31" t="s">
        <v>1993</v>
      </c>
    </row>
    <row r="1309" spans="1:1" ht="15" x14ac:dyDescent="0.25">
      <c r="A1309" s="31" t="s">
        <v>1994</v>
      </c>
    </row>
    <row r="1310" spans="1:1" ht="15" x14ac:dyDescent="0.25">
      <c r="A1310" s="31" t="s">
        <v>1995</v>
      </c>
    </row>
    <row r="1311" spans="1:1" ht="15" x14ac:dyDescent="0.25">
      <c r="A1311" s="31" t="s">
        <v>1996</v>
      </c>
    </row>
    <row r="1312" spans="1:1" ht="15" x14ac:dyDescent="0.25">
      <c r="A1312" s="31" t="s">
        <v>1997</v>
      </c>
    </row>
    <row r="1313" spans="1:1" ht="15" x14ac:dyDescent="0.25">
      <c r="A1313" s="31" t="s">
        <v>1998</v>
      </c>
    </row>
    <row r="1314" spans="1:1" ht="15" x14ac:dyDescent="0.25">
      <c r="A1314" s="31" t="s">
        <v>1999</v>
      </c>
    </row>
    <row r="1315" spans="1:1" ht="15" x14ac:dyDescent="0.25">
      <c r="A1315" s="31" t="s">
        <v>2000</v>
      </c>
    </row>
    <row r="1316" spans="1:1" ht="15" x14ac:dyDescent="0.25">
      <c r="A1316" s="31" t="s">
        <v>2001</v>
      </c>
    </row>
    <row r="1317" spans="1:1" ht="15" x14ac:dyDescent="0.25">
      <c r="A1317" s="31" t="s">
        <v>2002</v>
      </c>
    </row>
    <row r="1318" spans="1:1" ht="15" x14ac:dyDescent="0.25">
      <c r="A1318" s="31" t="s">
        <v>2003</v>
      </c>
    </row>
    <row r="1319" spans="1:1" ht="15" x14ac:dyDescent="0.25">
      <c r="A1319" s="31" t="s">
        <v>2004</v>
      </c>
    </row>
    <row r="1320" spans="1:1" ht="15" x14ac:dyDescent="0.25">
      <c r="A1320" s="31" t="s">
        <v>2005</v>
      </c>
    </row>
    <row r="1321" spans="1:1" ht="15" x14ac:dyDescent="0.25">
      <c r="A1321" s="31" t="s">
        <v>2006</v>
      </c>
    </row>
    <row r="1322" spans="1:1" ht="15" x14ac:dyDescent="0.25">
      <c r="A1322" s="31" t="s">
        <v>2007</v>
      </c>
    </row>
    <row r="1323" spans="1:1" ht="15" x14ac:dyDescent="0.25">
      <c r="A1323" s="31" t="s">
        <v>2008</v>
      </c>
    </row>
    <row r="1324" spans="1:1" ht="15" x14ac:dyDescent="0.25">
      <c r="A1324" s="31" t="s">
        <v>2009</v>
      </c>
    </row>
    <row r="1325" spans="1:1" ht="15" x14ac:dyDescent="0.25">
      <c r="A1325" s="31" t="s">
        <v>2010</v>
      </c>
    </row>
    <row r="1326" spans="1:1" ht="15" x14ac:dyDescent="0.25">
      <c r="A1326" s="31" t="s">
        <v>2011</v>
      </c>
    </row>
    <row r="1327" spans="1:1" ht="15" x14ac:dyDescent="0.25">
      <c r="A1327" s="31" t="s">
        <v>2012</v>
      </c>
    </row>
    <row r="1328" spans="1:1" ht="15" x14ac:dyDescent="0.25">
      <c r="A1328" s="31" t="s">
        <v>2013</v>
      </c>
    </row>
    <row r="1329" spans="1:1" ht="15" x14ac:dyDescent="0.25">
      <c r="A1329" s="31" t="s">
        <v>2014</v>
      </c>
    </row>
    <row r="1330" spans="1:1" ht="15" x14ac:dyDescent="0.25">
      <c r="A1330" s="31" t="s">
        <v>2015</v>
      </c>
    </row>
    <row r="1331" spans="1:1" ht="15" x14ac:dyDescent="0.25">
      <c r="A1331" s="31" t="s">
        <v>2016</v>
      </c>
    </row>
    <row r="1332" spans="1:1" ht="15" x14ac:dyDescent="0.25">
      <c r="A1332" s="31" t="s">
        <v>2017</v>
      </c>
    </row>
    <row r="1333" spans="1:1" ht="15" x14ac:dyDescent="0.25">
      <c r="A1333" s="31" t="s">
        <v>2018</v>
      </c>
    </row>
    <row r="1334" spans="1:1" ht="15" x14ac:dyDescent="0.25">
      <c r="A1334" s="31" t="s">
        <v>2019</v>
      </c>
    </row>
    <row r="1335" spans="1:1" ht="15" x14ac:dyDescent="0.25">
      <c r="A1335" s="31" t="s">
        <v>2020</v>
      </c>
    </row>
    <row r="1336" spans="1:1" ht="15" x14ac:dyDescent="0.25">
      <c r="A1336" s="31" t="s">
        <v>2021</v>
      </c>
    </row>
    <row r="1337" spans="1:1" ht="15" x14ac:dyDescent="0.25">
      <c r="A1337" s="31" t="s">
        <v>2022</v>
      </c>
    </row>
    <row r="1338" spans="1:1" ht="15" x14ac:dyDescent="0.25">
      <c r="A1338" s="31" t="s">
        <v>2023</v>
      </c>
    </row>
    <row r="1339" spans="1:1" ht="15" x14ac:dyDescent="0.25">
      <c r="A1339" s="31" t="s">
        <v>2024</v>
      </c>
    </row>
    <row r="1340" spans="1:1" ht="15" x14ac:dyDescent="0.25">
      <c r="A1340" s="31" t="s">
        <v>2025</v>
      </c>
    </row>
    <row r="1341" spans="1:1" ht="15" x14ac:dyDescent="0.25">
      <c r="A1341" s="31" t="s">
        <v>2026</v>
      </c>
    </row>
    <row r="1342" spans="1:1" ht="15" x14ac:dyDescent="0.25">
      <c r="A1342" s="31" t="s">
        <v>2027</v>
      </c>
    </row>
    <row r="1343" spans="1:1" ht="15" x14ac:dyDescent="0.25">
      <c r="A1343" s="31" t="s">
        <v>2028</v>
      </c>
    </row>
    <row r="1344" spans="1:1" ht="15" x14ac:dyDescent="0.25">
      <c r="A1344" s="31" t="s">
        <v>2029</v>
      </c>
    </row>
    <row r="1345" spans="1:1" ht="15" x14ac:dyDescent="0.25">
      <c r="A1345" s="31" t="s">
        <v>2030</v>
      </c>
    </row>
    <row r="1346" spans="1:1" ht="15" x14ac:dyDescent="0.25">
      <c r="A1346" s="31" t="s">
        <v>2031</v>
      </c>
    </row>
    <row r="1347" spans="1:1" ht="15" x14ac:dyDescent="0.25">
      <c r="A1347" s="31" t="s">
        <v>2032</v>
      </c>
    </row>
    <row r="1348" spans="1:1" ht="15" x14ac:dyDescent="0.25">
      <c r="A1348" s="31" t="s">
        <v>2033</v>
      </c>
    </row>
    <row r="1349" spans="1:1" ht="15" x14ac:dyDescent="0.25">
      <c r="A1349" s="31" t="s">
        <v>2034</v>
      </c>
    </row>
    <row r="1350" spans="1:1" ht="15" x14ac:dyDescent="0.25">
      <c r="A1350" s="31" t="s">
        <v>2035</v>
      </c>
    </row>
    <row r="1351" spans="1:1" ht="15" x14ac:dyDescent="0.25">
      <c r="A1351" s="31" t="s">
        <v>2036</v>
      </c>
    </row>
    <row r="1352" spans="1:1" ht="15" x14ac:dyDescent="0.25">
      <c r="A1352" s="31" t="s">
        <v>2037</v>
      </c>
    </row>
    <row r="1353" spans="1:1" ht="15" x14ac:dyDescent="0.25">
      <c r="A1353" s="31" t="s">
        <v>2038</v>
      </c>
    </row>
    <row r="1354" spans="1:1" ht="15" x14ac:dyDescent="0.25">
      <c r="A1354" s="31" t="s">
        <v>2039</v>
      </c>
    </row>
    <row r="1355" spans="1:1" ht="15" x14ac:dyDescent="0.25">
      <c r="A1355" s="31" t="s">
        <v>2040</v>
      </c>
    </row>
    <row r="1356" spans="1:1" ht="15" x14ac:dyDescent="0.25">
      <c r="A1356" s="31" t="s">
        <v>2041</v>
      </c>
    </row>
    <row r="1357" spans="1:1" ht="15" x14ac:dyDescent="0.25">
      <c r="A1357" s="31" t="s">
        <v>2042</v>
      </c>
    </row>
    <row r="1358" spans="1:1" ht="15" x14ac:dyDescent="0.25">
      <c r="A1358" s="31" t="s">
        <v>2043</v>
      </c>
    </row>
    <row r="1359" spans="1:1" ht="15" x14ac:dyDescent="0.25">
      <c r="A1359" s="31" t="s">
        <v>2044</v>
      </c>
    </row>
    <row r="1360" spans="1:1" ht="15" x14ac:dyDescent="0.25">
      <c r="A1360" s="31" t="s">
        <v>2045</v>
      </c>
    </row>
    <row r="1361" spans="1:1" ht="15" x14ac:dyDescent="0.25">
      <c r="A1361" s="31" t="s">
        <v>2046</v>
      </c>
    </row>
    <row r="1362" spans="1:1" ht="15" x14ac:dyDescent="0.25">
      <c r="A1362" s="31" t="s">
        <v>2047</v>
      </c>
    </row>
    <row r="1363" spans="1:1" ht="15" x14ac:dyDescent="0.25">
      <c r="A1363" s="31" t="s">
        <v>2048</v>
      </c>
    </row>
    <row r="1364" spans="1:1" ht="15" x14ac:dyDescent="0.25">
      <c r="A1364" s="31" t="s">
        <v>2049</v>
      </c>
    </row>
    <row r="1365" spans="1:1" ht="15" x14ac:dyDescent="0.25">
      <c r="A1365" s="31" t="s">
        <v>2050</v>
      </c>
    </row>
    <row r="1366" spans="1:1" ht="15" x14ac:dyDescent="0.25">
      <c r="A1366" s="31" t="s">
        <v>2051</v>
      </c>
    </row>
    <row r="1367" spans="1:1" ht="15" x14ac:dyDescent="0.25">
      <c r="A1367" s="31" t="s">
        <v>2052</v>
      </c>
    </row>
    <row r="1368" spans="1:1" ht="15" x14ac:dyDescent="0.25">
      <c r="A1368" s="31" t="s">
        <v>2053</v>
      </c>
    </row>
    <row r="1369" spans="1:1" ht="15" x14ac:dyDescent="0.25">
      <c r="A1369" s="31" t="s">
        <v>2054</v>
      </c>
    </row>
    <row r="1370" spans="1:1" ht="15" x14ac:dyDescent="0.25">
      <c r="A1370" s="31" t="s">
        <v>2055</v>
      </c>
    </row>
    <row r="1371" spans="1:1" ht="15" x14ac:dyDescent="0.25">
      <c r="A1371" s="31" t="s">
        <v>2056</v>
      </c>
    </row>
    <row r="1372" spans="1:1" ht="15" x14ac:dyDescent="0.25">
      <c r="A1372" s="31" t="s">
        <v>2057</v>
      </c>
    </row>
    <row r="1373" spans="1:1" ht="15" x14ac:dyDescent="0.25">
      <c r="A1373" s="31" t="s">
        <v>2058</v>
      </c>
    </row>
    <row r="1374" spans="1:1" ht="15" x14ac:dyDescent="0.25">
      <c r="A1374" s="31" t="s">
        <v>2059</v>
      </c>
    </row>
    <row r="1375" spans="1:1" ht="15" x14ac:dyDescent="0.25">
      <c r="A1375" s="31" t="s">
        <v>2060</v>
      </c>
    </row>
    <row r="1376" spans="1:1" ht="15" x14ac:dyDescent="0.25">
      <c r="A1376" s="31" t="s">
        <v>2061</v>
      </c>
    </row>
    <row r="1377" spans="1:1" ht="15" x14ac:dyDescent="0.25">
      <c r="A1377" s="31" t="s">
        <v>2062</v>
      </c>
    </row>
    <row r="1378" spans="1:1" ht="15" x14ac:dyDescent="0.25">
      <c r="A1378" s="31" t="s">
        <v>2063</v>
      </c>
    </row>
    <row r="1379" spans="1:1" ht="15" x14ac:dyDescent="0.25">
      <c r="A1379" s="31" t="s">
        <v>2064</v>
      </c>
    </row>
    <row r="1380" spans="1:1" ht="15" x14ac:dyDescent="0.25">
      <c r="A1380" s="31" t="s">
        <v>2065</v>
      </c>
    </row>
    <row r="1381" spans="1:1" ht="15" x14ac:dyDescent="0.25">
      <c r="A1381" s="31" t="s">
        <v>2066</v>
      </c>
    </row>
    <row r="1382" spans="1:1" ht="15" x14ac:dyDescent="0.25">
      <c r="A1382" s="31" t="s">
        <v>2067</v>
      </c>
    </row>
    <row r="1383" spans="1:1" ht="15" x14ac:dyDescent="0.25">
      <c r="A1383" s="31" t="s">
        <v>2068</v>
      </c>
    </row>
    <row r="1384" spans="1:1" ht="15" x14ac:dyDescent="0.25">
      <c r="A1384" s="31" t="s">
        <v>2069</v>
      </c>
    </row>
    <row r="1385" spans="1:1" ht="15" x14ac:dyDescent="0.25">
      <c r="A1385" s="31" t="s">
        <v>2070</v>
      </c>
    </row>
    <row r="1386" spans="1:1" ht="15" x14ac:dyDescent="0.25">
      <c r="A1386" s="31" t="s">
        <v>2071</v>
      </c>
    </row>
    <row r="1387" spans="1:1" ht="15" x14ac:dyDescent="0.25">
      <c r="A1387" s="31" t="s">
        <v>2072</v>
      </c>
    </row>
    <row r="1388" spans="1:1" ht="15" x14ac:dyDescent="0.25">
      <c r="A1388" s="31" t="s">
        <v>2073</v>
      </c>
    </row>
    <row r="1389" spans="1:1" ht="15" x14ac:dyDescent="0.25">
      <c r="A1389" s="31" t="s">
        <v>2074</v>
      </c>
    </row>
    <row r="1390" spans="1:1" ht="15" x14ac:dyDescent="0.25">
      <c r="A1390" s="31" t="s">
        <v>2075</v>
      </c>
    </row>
    <row r="1391" spans="1:1" ht="15" x14ac:dyDescent="0.25">
      <c r="A1391" s="31" t="s">
        <v>2076</v>
      </c>
    </row>
    <row r="1392" spans="1:1" ht="15" x14ac:dyDescent="0.25">
      <c r="A1392" s="31" t="s">
        <v>2077</v>
      </c>
    </row>
    <row r="1393" spans="1:1" ht="15" x14ac:dyDescent="0.25">
      <c r="A1393" s="31" t="s">
        <v>2078</v>
      </c>
    </row>
    <row r="1394" spans="1:1" ht="15" x14ac:dyDescent="0.25">
      <c r="A1394" s="31" t="s">
        <v>2079</v>
      </c>
    </row>
    <row r="1395" spans="1:1" ht="15" x14ac:dyDescent="0.25">
      <c r="A1395" s="31" t="s">
        <v>2080</v>
      </c>
    </row>
    <row r="1396" spans="1:1" ht="15" x14ac:dyDescent="0.25">
      <c r="A1396" s="31" t="s">
        <v>2081</v>
      </c>
    </row>
    <row r="1397" spans="1:1" ht="15" x14ac:dyDescent="0.25">
      <c r="A1397" s="31" t="s">
        <v>2082</v>
      </c>
    </row>
    <row r="1398" spans="1:1" ht="15" x14ac:dyDescent="0.25">
      <c r="A1398" s="31" t="s">
        <v>2083</v>
      </c>
    </row>
    <row r="1399" spans="1:1" ht="15" x14ac:dyDescent="0.25">
      <c r="A1399" s="31" t="s">
        <v>2084</v>
      </c>
    </row>
    <row r="1400" spans="1:1" ht="15" x14ac:dyDescent="0.25">
      <c r="A1400" s="31" t="s">
        <v>2085</v>
      </c>
    </row>
    <row r="1401" spans="1:1" ht="15" x14ac:dyDescent="0.25">
      <c r="A1401" s="31" t="s">
        <v>2086</v>
      </c>
    </row>
    <row r="1402" spans="1:1" ht="15" x14ac:dyDescent="0.25">
      <c r="A1402" s="31" t="s">
        <v>2087</v>
      </c>
    </row>
    <row r="1403" spans="1:1" ht="15" x14ac:dyDescent="0.25">
      <c r="A1403" s="31" t="s">
        <v>2088</v>
      </c>
    </row>
    <row r="1404" spans="1:1" ht="15" x14ac:dyDescent="0.25">
      <c r="A1404" s="31" t="s">
        <v>2089</v>
      </c>
    </row>
    <row r="1405" spans="1:1" ht="15" x14ac:dyDescent="0.25">
      <c r="A1405" s="31" t="s">
        <v>2090</v>
      </c>
    </row>
    <row r="1406" spans="1:1" ht="15" x14ac:dyDescent="0.25">
      <c r="A1406" s="31" t="s">
        <v>2091</v>
      </c>
    </row>
    <row r="1407" spans="1:1" ht="15" x14ac:dyDescent="0.25">
      <c r="A1407" s="31" t="s">
        <v>2092</v>
      </c>
    </row>
    <row r="1408" spans="1:1" ht="15" x14ac:dyDescent="0.25">
      <c r="A1408" s="31" t="s">
        <v>2093</v>
      </c>
    </row>
    <row r="1409" spans="1:1" ht="15" x14ac:dyDescent="0.25">
      <c r="A1409" s="31" t="s">
        <v>2094</v>
      </c>
    </row>
    <row r="1410" spans="1:1" ht="15" x14ac:dyDescent="0.25">
      <c r="A1410" s="31" t="s">
        <v>2095</v>
      </c>
    </row>
    <row r="1411" spans="1:1" ht="15" x14ac:dyDescent="0.25">
      <c r="A1411" s="31" t="s">
        <v>2096</v>
      </c>
    </row>
    <row r="1412" spans="1:1" ht="15" x14ac:dyDescent="0.25">
      <c r="A1412" s="31" t="s">
        <v>2097</v>
      </c>
    </row>
    <row r="1413" spans="1:1" ht="15" x14ac:dyDescent="0.25">
      <c r="A1413" s="31" t="s">
        <v>2098</v>
      </c>
    </row>
    <row r="1414" spans="1:1" ht="15" x14ac:dyDescent="0.25">
      <c r="A1414" s="31" t="s">
        <v>2099</v>
      </c>
    </row>
    <row r="1415" spans="1:1" ht="15" x14ac:dyDescent="0.25">
      <c r="A1415" s="31" t="s">
        <v>2100</v>
      </c>
    </row>
    <row r="1416" spans="1:1" ht="15" x14ac:dyDescent="0.25">
      <c r="A1416" s="31" t="s">
        <v>2101</v>
      </c>
    </row>
    <row r="1417" spans="1:1" ht="15" x14ac:dyDescent="0.25">
      <c r="A1417" s="31" t="s">
        <v>2102</v>
      </c>
    </row>
    <row r="1418" spans="1:1" ht="15" x14ac:dyDescent="0.25">
      <c r="A1418" s="31" t="s">
        <v>2103</v>
      </c>
    </row>
    <row r="1419" spans="1:1" ht="15" x14ac:dyDescent="0.25">
      <c r="A1419" s="31" t="s">
        <v>2104</v>
      </c>
    </row>
    <row r="1420" spans="1:1" ht="15" x14ac:dyDescent="0.25">
      <c r="A1420" s="31" t="s">
        <v>2105</v>
      </c>
    </row>
    <row r="1421" spans="1:1" ht="15" x14ac:dyDescent="0.25">
      <c r="A1421" s="31" t="s">
        <v>2106</v>
      </c>
    </row>
    <row r="1422" spans="1:1" ht="15" x14ac:dyDescent="0.25">
      <c r="A1422" s="31" t="s">
        <v>2107</v>
      </c>
    </row>
    <row r="1423" spans="1:1" ht="15" x14ac:dyDescent="0.25">
      <c r="A1423" s="31" t="s">
        <v>2108</v>
      </c>
    </row>
    <row r="1424" spans="1:1" ht="15" x14ac:dyDescent="0.25">
      <c r="A1424" s="31" t="s">
        <v>2109</v>
      </c>
    </row>
    <row r="1425" spans="1:1" ht="15" x14ac:dyDescent="0.25">
      <c r="A1425" s="31" t="s">
        <v>2110</v>
      </c>
    </row>
    <row r="1426" spans="1:1" ht="15" x14ac:dyDescent="0.25">
      <c r="A1426" s="31" t="s">
        <v>2111</v>
      </c>
    </row>
    <row r="1427" spans="1:1" ht="15" x14ac:dyDescent="0.25">
      <c r="A1427" s="31" t="s">
        <v>2112</v>
      </c>
    </row>
    <row r="1428" spans="1:1" ht="15" x14ac:dyDescent="0.25">
      <c r="A1428" s="31" t="s">
        <v>2113</v>
      </c>
    </row>
    <row r="1429" spans="1:1" ht="15" x14ac:dyDescent="0.25">
      <c r="A1429" s="31" t="s">
        <v>2114</v>
      </c>
    </row>
    <row r="1430" spans="1:1" ht="15" x14ac:dyDescent="0.25">
      <c r="A1430" s="31" t="s">
        <v>2115</v>
      </c>
    </row>
    <row r="1431" spans="1:1" ht="15" x14ac:dyDescent="0.25">
      <c r="A1431" s="31" t="s">
        <v>2116</v>
      </c>
    </row>
    <row r="1432" spans="1:1" ht="15" x14ac:dyDescent="0.25">
      <c r="A1432" s="31" t="s">
        <v>2117</v>
      </c>
    </row>
    <row r="1433" spans="1:1" ht="15" x14ac:dyDescent="0.25">
      <c r="A1433" s="31" t="s">
        <v>2118</v>
      </c>
    </row>
    <row r="1434" spans="1:1" ht="15" x14ac:dyDescent="0.25">
      <c r="A1434" s="31" t="s">
        <v>2119</v>
      </c>
    </row>
    <row r="1435" spans="1:1" ht="15" x14ac:dyDescent="0.25">
      <c r="A1435" s="31" t="s">
        <v>2120</v>
      </c>
    </row>
    <row r="1436" spans="1:1" ht="15" x14ac:dyDescent="0.25">
      <c r="A1436" s="31" t="s">
        <v>2121</v>
      </c>
    </row>
    <row r="1437" spans="1:1" ht="15" x14ac:dyDescent="0.25">
      <c r="A1437" s="31" t="s">
        <v>2122</v>
      </c>
    </row>
    <row r="1438" spans="1:1" ht="15" x14ac:dyDescent="0.25">
      <c r="A1438" s="31" t="s">
        <v>2123</v>
      </c>
    </row>
    <row r="1439" spans="1:1" ht="15" x14ac:dyDescent="0.25">
      <c r="A1439" s="31" t="s">
        <v>2124</v>
      </c>
    </row>
    <row r="1440" spans="1:1" ht="15" x14ac:dyDescent="0.25">
      <c r="A1440" s="31" t="s">
        <v>2125</v>
      </c>
    </row>
    <row r="1441" spans="1:1" ht="15" x14ac:dyDescent="0.25">
      <c r="A1441" s="31" t="s">
        <v>2126</v>
      </c>
    </row>
    <row r="1442" spans="1:1" ht="15" x14ac:dyDescent="0.25">
      <c r="A1442" s="31" t="s">
        <v>2127</v>
      </c>
    </row>
    <row r="1443" spans="1:1" ht="15" x14ac:dyDescent="0.25">
      <c r="A1443" s="31" t="s">
        <v>2128</v>
      </c>
    </row>
    <row r="1444" spans="1:1" ht="15" x14ac:dyDescent="0.25">
      <c r="A1444" s="31" t="s">
        <v>2129</v>
      </c>
    </row>
    <row r="1445" spans="1:1" ht="15" x14ac:dyDescent="0.25">
      <c r="A1445" s="31" t="s">
        <v>2130</v>
      </c>
    </row>
    <row r="1446" spans="1:1" ht="15" x14ac:dyDescent="0.25">
      <c r="A1446" s="31" t="s">
        <v>2131</v>
      </c>
    </row>
    <row r="1447" spans="1:1" ht="15" x14ac:dyDescent="0.25">
      <c r="A1447" s="31" t="s">
        <v>2132</v>
      </c>
    </row>
    <row r="1448" spans="1:1" ht="15" x14ac:dyDescent="0.25">
      <c r="A1448" s="31" t="s">
        <v>2133</v>
      </c>
    </row>
    <row r="1449" spans="1:1" ht="15" x14ac:dyDescent="0.25">
      <c r="A1449" s="31" t="s">
        <v>2134</v>
      </c>
    </row>
    <row r="1450" spans="1:1" ht="15" x14ac:dyDescent="0.25">
      <c r="A1450" s="31" t="s">
        <v>2135</v>
      </c>
    </row>
    <row r="1451" spans="1:1" ht="15" x14ac:dyDescent="0.25">
      <c r="A1451" s="31" t="s">
        <v>2136</v>
      </c>
    </row>
    <row r="1452" spans="1:1" ht="15" x14ac:dyDescent="0.25">
      <c r="A1452" s="31" t="s">
        <v>2137</v>
      </c>
    </row>
    <row r="1453" spans="1:1" ht="15" x14ac:dyDescent="0.25">
      <c r="A1453" s="31" t="s">
        <v>2138</v>
      </c>
    </row>
    <row r="1454" spans="1:1" ht="15" x14ac:dyDescent="0.25">
      <c r="A1454" s="31" t="s">
        <v>2139</v>
      </c>
    </row>
    <row r="1455" spans="1:1" ht="15" x14ac:dyDescent="0.25">
      <c r="A1455" s="31" t="s">
        <v>2140</v>
      </c>
    </row>
    <row r="1456" spans="1:1" ht="15" x14ac:dyDescent="0.25">
      <c r="A1456" s="31" t="s">
        <v>2141</v>
      </c>
    </row>
    <row r="1457" spans="1:1" ht="15" x14ac:dyDescent="0.25">
      <c r="A1457" s="31" t="s">
        <v>2142</v>
      </c>
    </row>
    <row r="1458" spans="1:1" ht="15" x14ac:dyDescent="0.25">
      <c r="A1458" s="31" t="s">
        <v>2143</v>
      </c>
    </row>
    <row r="1459" spans="1:1" ht="15" x14ac:dyDescent="0.25">
      <c r="A1459" s="31" t="s">
        <v>2144</v>
      </c>
    </row>
    <row r="1460" spans="1:1" ht="15" x14ac:dyDescent="0.25">
      <c r="A1460" s="31" t="s">
        <v>2145</v>
      </c>
    </row>
    <row r="1461" spans="1:1" ht="15" x14ac:dyDescent="0.25">
      <c r="A1461" s="31" t="s">
        <v>2146</v>
      </c>
    </row>
    <row r="1462" spans="1:1" ht="15" x14ac:dyDescent="0.25">
      <c r="A1462" s="31" t="s">
        <v>2147</v>
      </c>
    </row>
    <row r="1463" spans="1:1" ht="15" x14ac:dyDescent="0.25">
      <c r="A1463" s="31" t="s">
        <v>2148</v>
      </c>
    </row>
    <row r="1464" spans="1:1" ht="15" x14ac:dyDescent="0.25">
      <c r="A1464" s="31" t="s">
        <v>2149</v>
      </c>
    </row>
    <row r="1465" spans="1:1" ht="15" x14ac:dyDescent="0.25">
      <c r="A1465" s="31" t="s">
        <v>2150</v>
      </c>
    </row>
    <row r="1466" spans="1:1" ht="15" x14ac:dyDescent="0.25">
      <c r="A1466" s="31" t="s">
        <v>2151</v>
      </c>
    </row>
    <row r="1467" spans="1:1" ht="15" x14ac:dyDescent="0.25">
      <c r="A1467" s="31" t="s">
        <v>2152</v>
      </c>
    </row>
    <row r="1468" spans="1:1" ht="15" x14ac:dyDescent="0.25">
      <c r="A1468" s="31" t="s">
        <v>2153</v>
      </c>
    </row>
    <row r="1469" spans="1:1" ht="15" x14ac:dyDescent="0.25">
      <c r="A1469" s="31" t="s">
        <v>2154</v>
      </c>
    </row>
    <row r="1470" spans="1:1" ht="15" x14ac:dyDescent="0.25">
      <c r="A1470" s="31" t="s">
        <v>2155</v>
      </c>
    </row>
    <row r="1471" spans="1:1" ht="15" x14ac:dyDescent="0.25">
      <c r="A1471" s="31" t="s">
        <v>2156</v>
      </c>
    </row>
    <row r="1472" spans="1:1" ht="15" x14ac:dyDescent="0.25">
      <c r="A1472" s="31" t="s">
        <v>2157</v>
      </c>
    </row>
    <row r="1473" spans="1:1" ht="15" x14ac:dyDescent="0.25">
      <c r="A1473" s="31" t="s">
        <v>2158</v>
      </c>
    </row>
    <row r="1474" spans="1:1" ht="15" x14ac:dyDescent="0.25">
      <c r="A1474" s="31" t="s">
        <v>2159</v>
      </c>
    </row>
    <row r="1475" spans="1:1" ht="15" x14ac:dyDescent="0.25">
      <c r="A1475" s="31" t="s">
        <v>2160</v>
      </c>
    </row>
    <row r="1476" spans="1:1" ht="15" x14ac:dyDescent="0.25">
      <c r="A1476" s="31" t="s">
        <v>2161</v>
      </c>
    </row>
    <row r="1477" spans="1:1" ht="15" x14ac:dyDescent="0.25">
      <c r="A1477" s="31" t="s">
        <v>2162</v>
      </c>
    </row>
    <row r="1478" spans="1:1" ht="15" x14ac:dyDescent="0.25">
      <c r="A1478" s="31" t="s">
        <v>2163</v>
      </c>
    </row>
    <row r="1479" spans="1:1" ht="15" x14ac:dyDescent="0.25">
      <c r="A1479" s="31" t="s">
        <v>2164</v>
      </c>
    </row>
    <row r="1480" spans="1:1" ht="15" x14ac:dyDescent="0.25">
      <c r="A1480" s="31" t="s">
        <v>2165</v>
      </c>
    </row>
    <row r="1481" spans="1:1" ht="15" x14ac:dyDescent="0.25">
      <c r="A1481" s="31" t="s">
        <v>2166</v>
      </c>
    </row>
    <row r="1482" spans="1:1" ht="15" x14ac:dyDescent="0.25">
      <c r="A1482" s="31" t="s">
        <v>2167</v>
      </c>
    </row>
    <row r="1483" spans="1:1" ht="15" x14ac:dyDescent="0.25">
      <c r="A1483" s="31" t="s">
        <v>2168</v>
      </c>
    </row>
    <row r="1484" spans="1:1" ht="15" x14ac:dyDescent="0.25">
      <c r="A1484" s="31" t="s">
        <v>2169</v>
      </c>
    </row>
    <row r="1485" spans="1:1" ht="15" x14ac:dyDescent="0.25">
      <c r="A1485" s="31" t="s">
        <v>2170</v>
      </c>
    </row>
    <row r="1486" spans="1:1" ht="15" x14ac:dyDescent="0.25">
      <c r="A1486" s="31" t="s">
        <v>2171</v>
      </c>
    </row>
    <row r="1487" spans="1:1" ht="15" x14ac:dyDescent="0.25">
      <c r="A1487" s="31" t="s">
        <v>2172</v>
      </c>
    </row>
    <row r="1488" spans="1:1" ht="15" x14ac:dyDescent="0.25">
      <c r="A1488" s="31" t="s">
        <v>2173</v>
      </c>
    </row>
    <row r="1489" spans="1:1" ht="15" x14ac:dyDescent="0.25">
      <c r="A1489" s="31" t="s">
        <v>2174</v>
      </c>
    </row>
    <row r="1490" spans="1:1" ht="15" x14ac:dyDescent="0.25">
      <c r="A1490" s="31" t="s">
        <v>2175</v>
      </c>
    </row>
    <row r="1491" spans="1:1" ht="15" x14ac:dyDescent="0.25">
      <c r="A1491" s="31" t="s">
        <v>2176</v>
      </c>
    </row>
    <row r="1492" spans="1:1" ht="15" x14ac:dyDescent="0.25">
      <c r="A1492" s="31" t="s">
        <v>2177</v>
      </c>
    </row>
    <row r="1493" spans="1:1" ht="15" x14ac:dyDescent="0.25">
      <c r="A1493" s="31" t="s">
        <v>2178</v>
      </c>
    </row>
    <row r="1494" spans="1:1" ht="15" x14ac:dyDescent="0.25">
      <c r="A1494" s="31" t="s">
        <v>2179</v>
      </c>
    </row>
    <row r="1495" spans="1:1" ht="15" x14ac:dyDescent="0.25">
      <c r="A1495" s="31" t="s">
        <v>2180</v>
      </c>
    </row>
    <row r="1496" spans="1:1" ht="15" x14ac:dyDescent="0.25">
      <c r="A1496" s="31" t="s">
        <v>2181</v>
      </c>
    </row>
    <row r="1497" spans="1:1" ht="15" x14ac:dyDescent="0.25">
      <c r="A1497" s="31" t="s">
        <v>2182</v>
      </c>
    </row>
    <row r="1498" spans="1:1" ht="15" x14ac:dyDescent="0.25">
      <c r="A1498" s="31" t="s">
        <v>2183</v>
      </c>
    </row>
    <row r="1499" spans="1:1" ht="15" x14ac:dyDescent="0.25">
      <c r="A1499" s="31" t="s">
        <v>2184</v>
      </c>
    </row>
    <row r="1500" spans="1:1" ht="15" x14ac:dyDescent="0.25">
      <c r="A1500" s="31" t="s">
        <v>2185</v>
      </c>
    </row>
    <row r="1501" spans="1:1" ht="15" x14ac:dyDescent="0.25">
      <c r="A1501" s="31" t="s">
        <v>2186</v>
      </c>
    </row>
    <row r="1502" spans="1:1" ht="15" x14ac:dyDescent="0.25">
      <c r="A1502" s="31" t="s">
        <v>2187</v>
      </c>
    </row>
    <row r="1503" spans="1:1" ht="15" x14ac:dyDescent="0.25">
      <c r="A1503" s="31" t="s">
        <v>2188</v>
      </c>
    </row>
    <row r="1504" spans="1:1" ht="15" x14ac:dyDescent="0.25">
      <c r="A1504" s="31" t="s">
        <v>2189</v>
      </c>
    </row>
    <row r="1505" spans="1:1" ht="15" x14ac:dyDescent="0.25">
      <c r="A1505" s="31" t="s">
        <v>2190</v>
      </c>
    </row>
    <row r="1506" spans="1:1" ht="15" x14ac:dyDescent="0.25">
      <c r="A1506" s="31" t="s">
        <v>2191</v>
      </c>
    </row>
    <row r="1507" spans="1:1" ht="15" x14ac:dyDescent="0.25">
      <c r="A1507" s="31" t="s">
        <v>2192</v>
      </c>
    </row>
    <row r="1508" spans="1:1" ht="15" x14ac:dyDescent="0.25">
      <c r="A1508" s="31" t="s">
        <v>2193</v>
      </c>
    </row>
    <row r="1509" spans="1:1" ht="15" x14ac:dyDescent="0.25">
      <c r="A1509" s="31" t="s">
        <v>2194</v>
      </c>
    </row>
    <row r="1510" spans="1:1" ht="15" x14ac:dyDescent="0.25">
      <c r="A1510" s="31" t="s">
        <v>2195</v>
      </c>
    </row>
    <row r="1511" spans="1:1" ht="15" x14ac:dyDescent="0.25">
      <c r="A1511" s="31" t="s">
        <v>2196</v>
      </c>
    </row>
    <row r="1512" spans="1:1" ht="15" x14ac:dyDescent="0.25">
      <c r="A1512" s="31" t="s">
        <v>2197</v>
      </c>
    </row>
    <row r="1513" spans="1:1" ht="15" x14ac:dyDescent="0.25">
      <c r="A1513" s="31" t="s">
        <v>2198</v>
      </c>
    </row>
    <row r="1514" spans="1:1" ht="15" x14ac:dyDescent="0.25">
      <c r="A1514" s="31" t="s">
        <v>2199</v>
      </c>
    </row>
    <row r="1515" spans="1:1" ht="15" x14ac:dyDescent="0.25">
      <c r="A1515" s="31" t="s">
        <v>2200</v>
      </c>
    </row>
    <row r="1516" spans="1:1" ht="15" x14ac:dyDescent="0.25">
      <c r="A1516" s="31" t="s">
        <v>2201</v>
      </c>
    </row>
    <row r="1517" spans="1:1" ht="15" x14ac:dyDescent="0.25">
      <c r="A1517" s="31" t="s">
        <v>2202</v>
      </c>
    </row>
    <row r="1518" spans="1:1" ht="15" x14ac:dyDescent="0.25">
      <c r="A1518" s="31" t="s">
        <v>2203</v>
      </c>
    </row>
    <row r="1519" spans="1:1" ht="15" x14ac:dyDescent="0.25">
      <c r="A1519" s="31" t="s">
        <v>2204</v>
      </c>
    </row>
    <row r="1520" spans="1:1" ht="15" x14ac:dyDescent="0.25">
      <c r="A1520" s="31" t="s">
        <v>2205</v>
      </c>
    </row>
    <row r="1521" spans="1:1" ht="15" x14ac:dyDescent="0.25">
      <c r="A1521" s="31" t="s">
        <v>2206</v>
      </c>
    </row>
    <row r="1522" spans="1:1" ht="15" x14ac:dyDescent="0.25">
      <c r="A1522" s="31" t="s">
        <v>2207</v>
      </c>
    </row>
    <row r="1523" spans="1:1" ht="15" x14ac:dyDescent="0.25">
      <c r="A1523" s="31" t="s">
        <v>2208</v>
      </c>
    </row>
    <row r="1524" spans="1:1" ht="15" x14ac:dyDescent="0.25">
      <c r="A1524" s="31" t="s">
        <v>2209</v>
      </c>
    </row>
    <row r="1525" spans="1:1" ht="15" x14ac:dyDescent="0.25">
      <c r="A1525" s="31" t="s">
        <v>2210</v>
      </c>
    </row>
    <row r="1526" spans="1:1" ht="15" x14ac:dyDescent="0.25">
      <c r="A1526" s="31" t="s">
        <v>2211</v>
      </c>
    </row>
    <row r="1527" spans="1:1" ht="15" x14ac:dyDescent="0.25">
      <c r="A1527" s="31" t="s">
        <v>2212</v>
      </c>
    </row>
    <row r="1528" spans="1:1" ht="15" x14ac:dyDescent="0.25">
      <c r="A1528" s="31" t="s">
        <v>2213</v>
      </c>
    </row>
    <row r="1529" spans="1:1" ht="15" x14ac:dyDescent="0.25">
      <c r="A1529" s="31" t="s">
        <v>2214</v>
      </c>
    </row>
    <row r="1530" spans="1:1" ht="15" x14ac:dyDescent="0.25">
      <c r="A1530" s="31" t="s">
        <v>2215</v>
      </c>
    </row>
    <row r="1531" spans="1:1" ht="15" x14ac:dyDescent="0.25">
      <c r="A1531" s="31" t="s">
        <v>2216</v>
      </c>
    </row>
    <row r="1532" spans="1:1" ht="15" x14ac:dyDescent="0.25">
      <c r="A1532" s="31" t="s">
        <v>2217</v>
      </c>
    </row>
    <row r="1533" spans="1:1" ht="15" x14ac:dyDescent="0.25">
      <c r="A1533" s="31" t="s">
        <v>2218</v>
      </c>
    </row>
    <row r="1534" spans="1:1" ht="15" x14ac:dyDescent="0.25">
      <c r="A1534" s="31" t="s">
        <v>2219</v>
      </c>
    </row>
    <row r="1535" spans="1:1" ht="15" x14ac:dyDescent="0.25">
      <c r="A1535" s="31" t="s">
        <v>2220</v>
      </c>
    </row>
    <row r="1536" spans="1:1" ht="15" x14ac:dyDescent="0.25">
      <c r="A1536" s="31" t="s">
        <v>2221</v>
      </c>
    </row>
    <row r="1537" spans="1:1" ht="15" x14ac:dyDescent="0.25">
      <c r="A1537" s="31" t="s">
        <v>2222</v>
      </c>
    </row>
    <row r="1538" spans="1:1" ht="15" x14ac:dyDescent="0.25">
      <c r="A1538" s="31" t="s">
        <v>2223</v>
      </c>
    </row>
    <row r="1539" spans="1:1" ht="15" x14ac:dyDescent="0.25">
      <c r="A1539" s="31" t="s">
        <v>2224</v>
      </c>
    </row>
    <row r="1540" spans="1:1" ht="15" x14ac:dyDescent="0.25">
      <c r="A1540" s="31" t="s">
        <v>2225</v>
      </c>
    </row>
    <row r="1541" spans="1:1" ht="15" x14ac:dyDescent="0.25">
      <c r="A1541" s="31" t="s">
        <v>2226</v>
      </c>
    </row>
    <row r="1542" spans="1:1" ht="15" x14ac:dyDescent="0.25">
      <c r="A1542" s="31" t="s">
        <v>2227</v>
      </c>
    </row>
    <row r="1543" spans="1:1" ht="15" x14ac:dyDescent="0.25">
      <c r="A1543" s="31" t="s">
        <v>2228</v>
      </c>
    </row>
    <row r="1544" spans="1:1" ht="15" x14ac:dyDescent="0.25">
      <c r="A1544" s="31" t="s">
        <v>2229</v>
      </c>
    </row>
    <row r="1545" spans="1:1" ht="15" x14ac:dyDescent="0.25">
      <c r="A1545" s="31" t="s">
        <v>2230</v>
      </c>
    </row>
    <row r="1546" spans="1:1" ht="15" x14ac:dyDescent="0.25">
      <c r="A1546" s="31" t="s">
        <v>2231</v>
      </c>
    </row>
    <row r="1547" spans="1:1" ht="15" x14ac:dyDescent="0.25">
      <c r="A1547" s="31" t="s">
        <v>2232</v>
      </c>
    </row>
    <row r="1548" spans="1:1" ht="15" x14ac:dyDescent="0.25">
      <c r="A1548" s="31" t="s">
        <v>2233</v>
      </c>
    </row>
    <row r="1549" spans="1:1" ht="15" x14ac:dyDescent="0.25">
      <c r="A1549" s="31" t="s">
        <v>2234</v>
      </c>
    </row>
    <row r="1550" spans="1:1" ht="15" x14ac:dyDescent="0.25">
      <c r="A1550" s="31" t="s">
        <v>2235</v>
      </c>
    </row>
    <row r="1551" spans="1:1" ht="15" x14ac:dyDescent="0.25">
      <c r="A1551" s="31" t="s">
        <v>2236</v>
      </c>
    </row>
    <row r="1552" spans="1:1" ht="15" x14ac:dyDescent="0.25">
      <c r="A1552" s="31" t="s">
        <v>2237</v>
      </c>
    </row>
    <row r="1553" spans="1:1" ht="15" x14ac:dyDescent="0.25">
      <c r="A1553" s="31" t="s">
        <v>2238</v>
      </c>
    </row>
    <row r="1554" spans="1:1" ht="15" x14ac:dyDescent="0.25">
      <c r="A1554" s="31" t="s">
        <v>2239</v>
      </c>
    </row>
    <row r="1555" spans="1:1" ht="15" x14ac:dyDescent="0.25">
      <c r="A1555" s="31" t="s">
        <v>2240</v>
      </c>
    </row>
    <row r="1556" spans="1:1" ht="15" x14ac:dyDescent="0.25">
      <c r="A1556" s="31" t="s">
        <v>2241</v>
      </c>
    </row>
    <row r="1557" spans="1:1" ht="15" x14ac:dyDescent="0.25">
      <c r="A1557" s="31" t="s">
        <v>2242</v>
      </c>
    </row>
    <row r="1558" spans="1:1" ht="15" x14ac:dyDescent="0.25">
      <c r="A1558" s="31" t="s">
        <v>2243</v>
      </c>
    </row>
    <row r="1559" spans="1:1" ht="15" x14ac:dyDescent="0.25">
      <c r="A1559" s="31" t="s">
        <v>2244</v>
      </c>
    </row>
    <row r="1560" spans="1:1" ht="15" x14ac:dyDescent="0.25">
      <c r="A1560" s="31" t="s">
        <v>2245</v>
      </c>
    </row>
    <row r="1561" spans="1:1" ht="15" x14ac:dyDescent="0.25">
      <c r="A1561" s="31" t="s">
        <v>2246</v>
      </c>
    </row>
    <row r="1562" spans="1:1" ht="15" x14ac:dyDescent="0.25">
      <c r="A1562" s="31" t="s">
        <v>2247</v>
      </c>
    </row>
    <row r="1563" spans="1:1" ht="15" x14ac:dyDescent="0.25">
      <c r="A1563" s="31" t="s">
        <v>2248</v>
      </c>
    </row>
    <row r="1564" spans="1:1" ht="15" x14ac:dyDescent="0.25">
      <c r="A1564" s="31" t="s">
        <v>2249</v>
      </c>
    </row>
    <row r="1565" spans="1:1" ht="15" x14ac:dyDescent="0.25">
      <c r="A1565" s="31" t="s">
        <v>2250</v>
      </c>
    </row>
    <row r="1566" spans="1:1" ht="15" x14ac:dyDescent="0.25">
      <c r="A1566" s="31" t="s">
        <v>2251</v>
      </c>
    </row>
    <row r="1567" spans="1:1" ht="15" x14ac:dyDescent="0.25">
      <c r="A1567" s="31" t="s">
        <v>2252</v>
      </c>
    </row>
    <row r="1568" spans="1:1" ht="15" x14ac:dyDescent="0.25">
      <c r="A1568" s="31" t="s">
        <v>2253</v>
      </c>
    </row>
    <row r="1569" spans="1:1" ht="15" x14ac:dyDescent="0.25">
      <c r="A1569" s="31" t="s">
        <v>2254</v>
      </c>
    </row>
    <row r="1570" spans="1:1" ht="15" x14ac:dyDescent="0.25">
      <c r="A1570" s="31" t="s">
        <v>2255</v>
      </c>
    </row>
    <row r="1571" spans="1:1" ht="15" x14ac:dyDescent="0.25">
      <c r="A1571" s="31" t="s">
        <v>2256</v>
      </c>
    </row>
    <row r="1572" spans="1:1" ht="15" x14ac:dyDescent="0.25">
      <c r="A1572" s="31" t="s">
        <v>2257</v>
      </c>
    </row>
    <row r="1573" spans="1:1" ht="15" x14ac:dyDescent="0.25">
      <c r="A1573" s="31" t="s">
        <v>2258</v>
      </c>
    </row>
    <row r="1574" spans="1:1" ht="15" x14ac:dyDescent="0.25">
      <c r="A1574" s="31" t="s">
        <v>2259</v>
      </c>
    </row>
    <row r="1575" spans="1:1" ht="15" x14ac:dyDescent="0.25">
      <c r="A1575" s="31" t="s">
        <v>2260</v>
      </c>
    </row>
    <row r="1576" spans="1:1" ht="15" x14ac:dyDescent="0.25">
      <c r="A1576" s="31" t="s">
        <v>2261</v>
      </c>
    </row>
    <row r="1577" spans="1:1" ht="15" x14ac:dyDescent="0.25">
      <c r="A1577" s="31" t="s">
        <v>2262</v>
      </c>
    </row>
    <row r="1578" spans="1:1" ht="15" x14ac:dyDescent="0.25">
      <c r="A1578" s="31" t="s">
        <v>2263</v>
      </c>
    </row>
    <row r="1579" spans="1:1" ht="15" x14ac:dyDescent="0.25">
      <c r="A1579" s="31" t="s">
        <v>2264</v>
      </c>
    </row>
    <row r="1580" spans="1:1" ht="15" x14ac:dyDescent="0.25">
      <c r="A1580" s="31" t="s">
        <v>2265</v>
      </c>
    </row>
    <row r="1581" spans="1:1" ht="15" x14ac:dyDescent="0.25">
      <c r="A1581" s="31" t="s">
        <v>2266</v>
      </c>
    </row>
    <row r="1582" spans="1:1" ht="15" x14ac:dyDescent="0.25">
      <c r="A1582" s="31" t="s">
        <v>2267</v>
      </c>
    </row>
    <row r="1583" spans="1:1" ht="15" x14ac:dyDescent="0.25">
      <c r="A1583" s="31" t="s">
        <v>2268</v>
      </c>
    </row>
    <row r="1584" spans="1:1" ht="15" x14ac:dyDescent="0.25">
      <c r="A1584" s="31" t="s">
        <v>2269</v>
      </c>
    </row>
    <row r="1585" spans="1:1" ht="15" x14ac:dyDescent="0.25">
      <c r="A1585" s="31" t="s">
        <v>2270</v>
      </c>
    </row>
    <row r="1586" spans="1:1" ht="15" x14ac:dyDescent="0.25">
      <c r="A1586" s="31" t="s">
        <v>2271</v>
      </c>
    </row>
    <row r="1587" spans="1:1" ht="15" x14ac:dyDescent="0.25">
      <c r="A1587" s="31" t="s">
        <v>2272</v>
      </c>
    </row>
    <row r="1588" spans="1:1" ht="15" x14ac:dyDescent="0.25">
      <c r="A1588" s="31" t="s">
        <v>2273</v>
      </c>
    </row>
    <row r="1589" spans="1:1" ht="15" x14ac:dyDescent="0.25">
      <c r="A1589" s="31" t="s">
        <v>2274</v>
      </c>
    </row>
    <row r="1590" spans="1:1" ht="15" x14ac:dyDescent="0.25">
      <c r="A1590" s="31" t="s">
        <v>2275</v>
      </c>
    </row>
    <row r="1591" spans="1:1" ht="15" x14ac:dyDescent="0.25">
      <c r="A1591" s="31" t="s">
        <v>2276</v>
      </c>
    </row>
    <row r="1592" spans="1:1" ht="15" x14ac:dyDescent="0.25">
      <c r="A1592" s="31" t="s">
        <v>2277</v>
      </c>
    </row>
    <row r="1593" spans="1:1" ht="15" x14ac:dyDescent="0.25">
      <c r="A1593" s="31" t="s">
        <v>2278</v>
      </c>
    </row>
    <row r="1594" spans="1:1" ht="15" x14ac:dyDescent="0.25">
      <c r="A1594" s="31" t="s">
        <v>2279</v>
      </c>
    </row>
    <row r="1595" spans="1:1" ht="15" x14ac:dyDescent="0.25">
      <c r="A1595" s="31" t="s">
        <v>2280</v>
      </c>
    </row>
    <row r="1596" spans="1:1" ht="15" x14ac:dyDescent="0.25">
      <c r="A1596" s="31" t="s">
        <v>2281</v>
      </c>
    </row>
    <row r="1597" spans="1:1" ht="15" x14ac:dyDescent="0.25">
      <c r="A1597" s="31" t="s">
        <v>2282</v>
      </c>
    </row>
    <row r="1598" spans="1:1" ht="15" x14ac:dyDescent="0.25">
      <c r="A1598" s="31" t="s">
        <v>2283</v>
      </c>
    </row>
    <row r="1599" spans="1:1" ht="15" x14ac:dyDescent="0.25">
      <c r="A1599" s="31" t="s">
        <v>2284</v>
      </c>
    </row>
    <row r="1600" spans="1:1" ht="15" x14ac:dyDescent="0.25">
      <c r="A1600" s="31" t="s">
        <v>2285</v>
      </c>
    </row>
    <row r="1601" spans="1:1" ht="15" x14ac:dyDescent="0.25">
      <c r="A1601" s="31" t="s">
        <v>2286</v>
      </c>
    </row>
    <row r="1602" spans="1:1" ht="15" x14ac:dyDescent="0.25">
      <c r="A1602" s="31" t="s">
        <v>2287</v>
      </c>
    </row>
    <row r="1603" spans="1:1" ht="15" x14ac:dyDescent="0.25">
      <c r="A1603" s="31" t="s">
        <v>2288</v>
      </c>
    </row>
    <row r="1604" spans="1:1" ht="15" x14ac:dyDescent="0.25">
      <c r="A1604" s="31" t="s">
        <v>2289</v>
      </c>
    </row>
    <row r="1605" spans="1:1" ht="15" x14ac:dyDescent="0.25">
      <c r="A1605" s="31" t="s">
        <v>2290</v>
      </c>
    </row>
    <row r="1606" spans="1:1" ht="15" x14ac:dyDescent="0.25">
      <c r="A1606" s="31" t="s">
        <v>2291</v>
      </c>
    </row>
    <row r="1607" spans="1:1" ht="15" x14ac:dyDescent="0.25">
      <c r="A1607" s="31" t="s">
        <v>2292</v>
      </c>
    </row>
    <row r="1608" spans="1:1" ht="15" x14ac:dyDescent="0.25">
      <c r="A1608" s="31" t="s">
        <v>2293</v>
      </c>
    </row>
    <row r="1609" spans="1:1" ht="15" x14ac:dyDescent="0.25">
      <c r="A1609" s="31" t="s">
        <v>2294</v>
      </c>
    </row>
    <row r="1610" spans="1:1" ht="15" x14ac:dyDescent="0.25">
      <c r="A1610" s="31" t="s">
        <v>2295</v>
      </c>
    </row>
    <row r="1611" spans="1:1" ht="15" x14ac:dyDescent="0.25">
      <c r="A1611" s="31" t="s">
        <v>2296</v>
      </c>
    </row>
    <row r="1612" spans="1:1" ht="15" x14ac:dyDescent="0.25">
      <c r="A1612" s="31" t="s">
        <v>2297</v>
      </c>
    </row>
    <row r="1613" spans="1:1" ht="15" x14ac:dyDescent="0.25">
      <c r="A1613" s="31" t="s">
        <v>2298</v>
      </c>
    </row>
    <row r="1614" spans="1:1" ht="15" x14ac:dyDescent="0.25">
      <c r="A1614" s="31" t="s">
        <v>2299</v>
      </c>
    </row>
    <row r="1615" spans="1:1" ht="15" x14ac:dyDescent="0.25">
      <c r="A1615" s="31" t="s">
        <v>2300</v>
      </c>
    </row>
    <row r="1616" spans="1:1" ht="15" x14ac:dyDescent="0.25">
      <c r="A1616" s="31" t="s">
        <v>2301</v>
      </c>
    </row>
    <row r="1617" spans="1:1" ht="15" x14ac:dyDescent="0.25">
      <c r="A1617" s="31" t="s">
        <v>2302</v>
      </c>
    </row>
    <row r="1618" spans="1:1" ht="15" x14ac:dyDescent="0.25">
      <c r="A1618" s="31" t="s">
        <v>2303</v>
      </c>
    </row>
    <row r="1619" spans="1:1" ht="15" x14ac:dyDescent="0.25">
      <c r="A1619" s="31" t="s">
        <v>2304</v>
      </c>
    </row>
    <row r="1620" spans="1:1" ht="15" x14ac:dyDescent="0.25">
      <c r="A1620" s="31" t="s">
        <v>2305</v>
      </c>
    </row>
    <row r="1621" spans="1:1" ht="15" x14ac:dyDescent="0.25">
      <c r="A1621" s="31" t="s">
        <v>2306</v>
      </c>
    </row>
    <row r="1622" spans="1:1" ht="15" x14ac:dyDescent="0.25">
      <c r="A1622" s="31" t="s">
        <v>2307</v>
      </c>
    </row>
    <row r="1623" spans="1:1" ht="15" x14ac:dyDescent="0.25">
      <c r="A1623" s="31" t="s">
        <v>2308</v>
      </c>
    </row>
    <row r="1624" spans="1:1" ht="15" x14ac:dyDescent="0.25">
      <c r="A1624" s="31" t="s">
        <v>2309</v>
      </c>
    </row>
    <row r="1625" spans="1:1" ht="15" x14ac:dyDescent="0.25">
      <c r="A1625" s="31" t="s">
        <v>2310</v>
      </c>
    </row>
    <row r="1626" spans="1:1" ht="15" x14ac:dyDescent="0.25">
      <c r="A1626" s="31" t="s">
        <v>2311</v>
      </c>
    </row>
    <row r="1627" spans="1:1" ht="15" x14ac:dyDescent="0.25">
      <c r="A1627" s="31" t="s">
        <v>2312</v>
      </c>
    </row>
    <row r="1628" spans="1:1" ht="15" x14ac:dyDescent="0.25">
      <c r="A1628" s="31" t="s">
        <v>2313</v>
      </c>
    </row>
    <row r="1629" spans="1:1" ht="15" x14ac:dyDescent="0.25">
      <c r="A1629" s="31" t="s">
        <v>2314</v>
      </c>
    </row>
    <row r="1630" spans="1:1" ht="15" x14ac:dyDescent="0.25">
      <c r="A1630" s="31" t="s">
        <v>2315</v>
      </c>
    </row>
    <row r="1631" spans="1:1" ht="15" x14ac:dyDescent="0.25">
      <c r="A1631" s="31" t="s">
        <v>2316</v>
      </c>
    </row>
    <row r="1632" spans="1:1" ht="15" x14ac:dyDescent="0.25">
      <c r="A1632" s="31" t="s">
        <v>2317</v>
      </c>
    </row>
    <row r="1633" spans="1:1" ht="15" x14ac:dyDescent="0.25">
      <c r="A1633" s="31" t="s">
        <v>2318</v>
      </c>
    </row>
    <row r="1634" spans="1:1" ht="15" x14ac:dyDescent="0.25">
      <c r="A1634" s="31" t="s">
        <v>2319</v>
      </c>
    </row>
    <row r="1635" spans="1:1" ht="15" x14ac:dyDescent="0.25">
      <c r="A1635" s="31" t="s">
        <v>2320</v>
      </c>
    </row>
    <row r="1636" spans="1:1" ht="15" x14ac:dyDescent="0.25">
      <c r="A1636" s="31" t="s">
        <v>2321</v>
      </c>
    </row>
    <row r="1637" spans="1:1" ht="15" x14ac:dyDescent="0.25">
      <c r="A1637" s="31" t="s">
        <v>2322</v>
      </c>
    </row>
    <row r="1638" spans="1:1" ht="15" x14ac:dyDescent="0.25">
      <c r="A1638" s="31" t="s">
        <v>2323</v>
      </c>
    </row>
    <row r="1639" spans="1:1" ht="15" x14ac:dyDescent="0.25">
      <c r="A1639" s="31" t="s">
        <v>2324</v>
      </c>
    </row>
    <row r="1640" spans="1:1" ht="15" x14ac:dyDescent="0.25">
      <c r="A1640" s="31" t="s">
        <v>2325</v>
      </c>
    </row>
    <row r="1641" spans="1:1" ht="15" x14ac:dyDescent="0.25">
      <c r="A1641" s="31" t="s">
        <v>2326</v>
      </c>
    </row>
    <row r="1642" spans="1:1" ht="15" x14ac:dyDescent="0.25">
      <c r="A1642" s="31" t="s">
        <v>2327</v>
      </c>
    </row>
    <row r="1643" spans="1:1" ht="15" x14ac:dyDescent="0.25">
      <c r="A1643" s="31" t="s">
        <v>2328</v>
      </c>
    </row>
    <row r="1644" spans="1:1" ht="15" x14ac:dyDescent="0.25">
      <c r="A1644" s="31" t="s">
        <v>2329</v>
      </c>
    </row>
    <row r="1645" spans="1:1" ht="15" x14ac:dyDescent="0.25">
      <c r="A1645" s="31" t="s">
        <v>2330</v>
      </c>
    </row>
    <row r="1646" spans="1:1" ht="15" x14ac:dyDescent="0.25">
      <c r="A1646" s="31" t="s">
        <v>2331</v>
      </c>
    </row>
    <row r="1647" spans="1:1" ht="15" x14ac:dyDescent="0.25">
      <c r="A1647" s="31" t="s">
        <v>2332</v>
      </c>
    </row>
    <row r="1648" spans="1:1" ht="15" x14ac:dyDescent="0.25">
      <c r="A1648" s="31" t="s">
        <v>2333</v>
      </c>
    </row>
    <row r="1649" spans="1:1" ht="15" x14ac:dyDescent="0.25">
      <c r="A1649" s="31" t="s">
        <v>2334</v>
      </c>
    </row>
    <row r="1650" spans="1:1" ht="15" x14ac:dyDescent="0.25">
      <c r="A1650" s="31" t="s">
        <v>2335</v>
      </c>
    </row>
    <row r="1651" spans="1:1" ht="15" x14ac:dyDescent="0.25">
      <c r="A1651" s="31" t="s">
        <v>2336</v>
      </c>
    </row>
    <row r="1652" spans="1:1" ht="15" x14ac:dyDescent="0.25">
      <c r="A1652" s="31" t="s">
        <v>2337</v>
      </c>
    </row>
    <row r="1653" spans="1:1" ht="15" x14ac:dyDescent="0.25">
      <c r="A1653" s="31" t="s">
        <v>2338</v>
      </c>
    </row>
    <row r="1654" spans="1:1" ht="15" x14ac:dyDescent="0.25">
      <c r="A1654" s="31" t="s">
        <v>2339</v>
      </c>
    </row>
    <row r="1655" spans="1:1" ht="15" x14ac:dyDescent="0.25">
      <c r="A1655" s="31" t="s">
        <v>2340</v>
      </c>
    </row>
    <row r="1656" spans="1:1" ht="15" x14ac:dyDescent="0.25">
      <c r="A1656" s="31" t="s">
        <v>2341</v>
      </c>
    </row>
    <row r="1657" spans="1:1" ht="15" x14ac:dyDescent="0.25">
      <c r="A1657" s="31" t="s">
        <v>2342</v>
      </c>
    </row>
    <row r="1658" spans="1:1" ht="15" x14ac:dyDescent="0.25">
      <c r="A1658" s="31" t="s">
        <v>2343</v>
      </c>
    </row>
    <row r="1659" spans="1:1" ht="15" x14ac:dyDescent="0.25">
      <c r="A1659" s="31" t="s">
        <v>2344</v>
      </c>
    </row>
    <row r="1660" spans="1:1" ht="15" x14ac:dyDescent="0.25">
      <c r="A1660" s="31" t="s">
        <v>2345</v>
      </c>
    </row>
    <row r="1661" spans="1:1" ht="15" x14ac:dyDescent="0.25">
      <c r="A1661" s="31" t="s">
        <v>2346</v>
      </c>
    </row>
    <row r="1662" spans="1:1" ht="15" x14ac:dyDescent="0.25">
      <c r="A1662" s="31" t="s">
        <v>2347</v>
      </c>
    </row>
    <row r="1663" spans="1:1" ht="15" x14ac:dyDescent="0.25">
      <c r="A1663" s="31" t="s">
        <v>2348</v>
      </c>
    </row>
    <row r="1664" spans="1:1" ht="15" x14ac:dyDescent="0.25">
      <c r="A1664" s="31" t="s">
        <v>2349</v>
      </c>
    </row>
    <row r="1665" spans="1:1" ht="15" x14ac:dyDescent="0.25">
      <c r="A1665" s="31" t="s">
        <v>2350</v>
      </c>
    </row>
    <row r="1666" spans="1:1" ht="15" x14ac:dyDescent="0.25">
      <c r="A1666" s="31" t="s">
        <v>2351</v>
      </c>
    </row>
    <row r="1667" spans="1:1" ht="15" x14ac:dyDescent="0.25">
      <c r="A1667" s="31" t="s">
        <v>2352</v>
      </c>
    </row>
    <row r="1668" spans="1:1" ht="15" x14ac:dyDescent="0.25">
      <c r="A1668" s="31" t="s">
        <v>2353</v>
      </c>
    </row>
    <row r="1669" spans="1:1" ht="15" x14ac:dyDescent="0.25">
      <c r="A1669" s="31" t="s">
        <v>2354</v>
      </c>
    </row>
    <row r="1670" spans="1:1" ht="15" x14ac:dyDescent="0.25">
      <c r="A1670" s="31" t="s">
        <v>2355</v>
      </c>
    </row>
    <row r="1671" spans="1:1" ht="15" x14ac:dyDescent="0.25">
      <c r="A1671" s="31" t="s">
        <v>2356</v>
      </c>
    </row>
    <row r="1672" spans="1:1" ht="15" x14ac:dyDescent="0.25">
      <c r="A1672" s="31" t="s">
        <v>2357</v>
      </c>
    </row>
    <row r="1673" spans="1:1" ht="15" x14ac:dyDescent="0.25">
      <c r="A1673" s="31" t="s">
        <v>2358</v>
      </c>
    </row>
    <row r="1674" spans="1:1" ht="15" x14ac:dyDescent="0.25">
      <c r="A1674" s="31" t="s">
        <v>2359</v>
      </c>
    </row>
    <row r="1675" spans="1:1" ht="15" x14ac:dyDescent="0.25">
      <c r="A1675" s="31" t="s">
        <v>2360</v>
      </c>
    </row>
    <row r="1676" spans="1:1" ht="15" x14ac:dyDescent="0.25">
      <c r="A1676" s="31" t="s">
        <v>2361</v>
      </c>
    </row>
    <row r="1677" spans="1:1" ht="15" x14ac:dyDescent="0.25">
      <c r="A1677" s="31" t="s">
        <v>2362</v>
      </c>
    </row>
    <row r="1678" spans="1:1" ht="15" x14ac:dyDescent="0.25">
      <c r="A1678" s="31" t="s">
        <v>2363</v>
      </c>
    </row>
    <row r="1679" spans="1:1" ht="15" x14ac:dyDescent="0.25">
      <c r="A1679" s="31" t="s">
        <v>2364</v>
      </c>
    </row>
    <row r="1680" spans="1:1" ht="15" x14ac:dyDescent="0.25">
      <c r="A1680" s="31" t="s">
        <v>2365</v>
      </c>
    </row>
    <row r="1681" spans="1:1" ht="15" x14ac:dyDescent="0.25">
      <c r="A1681" s="31" t="s">
        <v>2366</v>
      </c>
    </row>
    <row r="1682" spans="1:1" ht="15" x14ac:dyDescent="0.25">
      <c r="A1682" s="31" t="s">
        <v>2367</v>
      </c>
    </row>
    <row r="1683" spans="1:1" ht="15" x14ac:dyDescent="0.25">
      <c r="A1683" s="31" t="s">
        <v>2368</v>
      </c>
    </row>
    <row r="1684" spans="1:1" ht="15" x14ac:dyDescent="0.25">
      <c r="A1684" s="31" t="s">
        <v>2369</v>
      </c>
    </row>
    <row r="1685" spans="1:1" ht="15" x14ac:dyDescent="0.25">
      <c r="A1685" s="31" t="s">
        <v>2370</v>
      </c>
    </row>
    <row r="1686" spans="1:1" ht="15" x14ac:dyDescent="0.25">
      <c r="A1686" s="31" t="s">
        <v>2371</v>
      </c>
    </row>
    <row r="1687" spans="1:1" ht="15" x14ac:dyDescent="0.25">
      <c r="A1687" s="31" t="s">
        <v>2372</v>
      </c>
    </row>
    <row r="1688" spans="1:1" ht="15" x14ac:dyDescent="0.25">
      <c r="A1688" s="31" t="s">
        <v>2373</v>
      </c>
    </row>
    <row r="1689" spans="1:1" ht="15" x14ac:dyDescent="0.25">
      <c r="A1689" s="31" t="s">
        <v>2374</v>
      </c>
    </row>
    <row r="1690" spans="1:1" ht="15" x14ac:dyDescent="0.25">
      <c r="A1690" s="31" t="s">
        <v>2375</v>
      </c>
    </row>
    <row r="1691" spans="1:1" ht="15" x14ac:dyDescent="0.25">
      <c r="A1691" s="31" t="s">
        <v>2376</v>
      </c>
    </row>
    <row r="1692" spans="1:1" ht="15" x14ac:dyDescent="0.25">
      <c r="A1692" s="31" t="s">
        <v>2377</v>
      </c>
    </row>
    <row r="1693" spans="1:1" ht="15" x14ac:dyDescent="0.25">
      <c r="A1693" s="31" t="s">
        <v>2378</v>
      </c>
    </row>
    <row r="1694" spans="1:1" ht="15" x14ac:dyDescent="0.25">
      <c r="A1694" s="31" t="s">
        <v>2379</v>
      </c>
    </row>
    <row r="1695" spans="1:1" ht="15" x14ac:dyDescent="0.25">
      <c r="A1695" s="31" t="s">
        <v>2380</v>
      </c>
    </row>
    <row r="1696" spans="1:1" ht="15" x14ac:dyDescent="0.25">
      <c r="A1696" s="31" t="s">
        <v>2381</v>
      </c>
    </row>
    <row r="1697" spans="1:1" ht="15" x14ac:dyDescent="0.25">
      <c r="A1697" s="31" t="s">
        <v>2382</v>
      </c>
    </row>
    <row r="1698" spans="1:1" ht="15" x14ac:dyDescent="0.25">
      <c r="A1698" s="31" t="s">
        <v>2383</v>
      </c>
    </row>
    <row r="1699" spans="1:1" ht="15" x14ac:dyDescent="0.25">
      <c r="A1699" s="31" t="s">
        <v>2384</v>
      </c>
    </row>
    <row r="1700" spans="1:1" ht="15" x14ac:dyDescent="0.25">
      <c r="A1700" s="31" t="s">
        <v>2385</v>
      </c>
    </row>
    <row r="1701" spans="1:1" ht="15" x14ac:dyDescent="0.25">
      <c r="A1701" s="31" t="s">
        <v>2386</v>
      </c>
    </row>
    <row r="1702" spans="1:1" ht="15" x14ac:dyDescent="0.25">
      <c r="A1702" s="31" t="s">
        <v>2387</v>
      </c>
    </row>
    <row r="1703" spans="1:1" ht="15" x14ac:dyDescent="0.25">
      <c r="A1703" s="31" t="s">
        <v>2388</v>
      </c>
    </row>
    <row r="1704" spans="1:1" ht="15" x14ac:dyDescent="0.25">
      <c r="A1704" s="31" t="s">
        <v>2389</v>
      </c>
    </row>
    <row r="1705" spans="1:1" ht="15" x14ac:dyDescent="0.25">
      <c r="A1705" s="31" t="s">
        <v>2390</v>
      </c>
    </row>
    <row r="1706" spans="1:1" ht="15" x14ac:dyDescent="0.25">
      <c r="A1706" s="31" t="s">
        <v>2391</v>
      </c>
    </row>
    <row r="1707" spans="1:1" ht="15" x14ac:dyDescent="0.25">
      <c r="A1707" s="31" t="s">
        <v>2392</v>
      </c>
    </row>
    <row r="1708" spans="1:1" ht="15" x14ac:dyDescent="0.25">
      <c r="A1708" s="31" t="s">
        <v>2393</v>
      </c>
    </row>
    <row r="1709" spans="1:1" ht="15" x14ac:dyDescent="0.25">
      <c r="A1709" s="31" t="s">
        <v>2394</v>
      </c>
    </row>
    <row r="1710" spans="1:1" ht="15" x14ac:dyDescent="0.25">
      <c r="A1710" s="31" t="s">
        <v>2395</v>
      </c>
    </row>
    <row r="1711" spans="1:1" ht="15" x14ac:dyDescent="0.25">
      <c r="A1711" s="31" t="s">
        <v>2396</v>
      </c>
    </row>
    <row r="1712" spans="1:1" ht="15" x14ac:dyDescent="0.25">
      <c r="A1712" s="31" t="s">
        <v>2397</v>
      </c>
    </row>
    <row r="1713" spans="1:1" ht="15" x14ac:dyDescent="0.25">
      <c r="A1713" s="31" t="s">
        <v>2398</v>
      </c>
    </row>
    <row r="1714" spans="1:1" ht="15" x14ac:dyDescent="0.25">
      <c r="A1714" s="31" t="s">
        <v>2399</v>
      </c>
    </row>
    <row r="1715" spans="1:1" ht="15" x14ac:dyDescent="0.25">
      <c r="A1715" s="31" t="s">
        <v>2400</v>
      </c>
    </row>
    <row r="1716" spans="1:1" ht="15" x14ac:dyDescent="0.25">
      <c r="A1716" s="31" t="s">
        <v>2401</v>
      </c>
    </row>
    <row r="1717" spans="1:1" ht="15" x14ac:dyDescent="0.25">
      <c r="A1717" s="31" t="s">
        <v>2402</v>
      </c>
    </row>
    <row r="1718" spans="1:1" ht="15" x14ac:dyDescent="0.25">
      <c r="A1718" s="31" t="s">
        <v>2403</v>
      </c>
    </row>
    <row r="1719" spans="1:1" ht="15" x14ac:dyDescent="0.25">
      <c r="A1719" s="31" t="s">
        <v>2404</v>
      </c>
    </row>
    <row r="1720" spans="1:1" ht="15" x14ac:dyDescent="0.25">
      <c r="A1720" s="31" t="s">
        <v>2405</v>
      </c>
    </row>
    <row r="1721" spans="1:1" ht="15" x14ac:dyDescent="0.25">
      <c r="A1721" s="31" t="s">
        <v>2406</v>
      </c>
    </row>
    <row r="1722" spans="1:1" ht="15" x14ac:dyDescent="0.25">
      <c r="A1722" s="31" t="s">
        <v>2407</v>
      </c>
    </row>
    <row r="1723" spans="1:1" ht="15" x14ac:dyDescent="0.25">
      <c r="A1723" s="31" t="s">
        <v>2408</v>
      </c>
    </row>
    <row r="1724" spans="1:1" ht="15" x14ac:dyDescent="0.25">
      <c r="A1724" s="31" t="s">
        <v>2409</v>
      </c>
    </row>
    <row r="1725" spans="1:1" ht="15" x14ac:dyDescent="0.25">
      <c r="A1725" s="31" t="s">
        <v>2410</v>
      </c>
    </row>
    <row r="1726" spans="1:1" ht="15" x14ac:dyDescent="0.25">
      <c r="A1726" s="31" t="s">
        <v>2411</v>
      </c>
    </row>
    <row r="1727" spans="1:1" ht="15" x14ac:dyDescent="0.25">
      <c r="A1727" s="31" t="s">
        <v>2412</v>
      </c>
    </row>
    <row r="1728" spans="1:1" ht="15" x14ac:dyDescent="0.25">
      <c r="A1728" s="31" t="s">
        <v>2413</v>
      </c>
    </row>
    <row r="1729" spans="1:1" ht="15" x14ac:dyDescent="0.25">
      <c r="A1729" s="31" t="s">
        <v>2414</v>
      </c>
    </row>
    <row r="1730" spans="1:1" ht="15" x14ac:dyDescent="0.25">
      <c r="A1730" s="31" t="s">
        <v>2415</v>
      </c>
    </row>
    <row r="1731" spans="1:1" ht="15" x14ac:dyDescent="0.25">
      <c r="A1731" s="31" t="s">
        <v>2416</v>
      </c>
    </row>
    <row r="1732" spans="1:1" ht="15" x14ac:dyDescent="0.25">
      <c r="A1732" s="31" t="s">
        <v>2417</v>
      </c>
    </row>
    <row r="1733" spans="1:1" ht="15" x14ac:dyDescent="0.25">
      <c r="A1733" s="31" t="s">
        <v>2418</v>
      </c>
    </row>
    <row r="1734" spans="1:1" ht="15" x14ac:dyDescent="0.25">
      <c r="A1734" s="31" t="s">
        <v>2419</v>
      </c>
    </row>
    <row r="1735" spans="1:1" ht="15" x14ac:dyDescent="0.25">
      <c r="A1735" s="31" t="s">
        <v>2420</v>
      </c>
    </row>
    <row r="1736" spans="1:1" ht="15" x14ac:dyDescent="0.25">
      <c r="A1736" s="31" t="s">
        <v>2421</v>
      </c>
    </row>
    <row r="1737" spans="1:1" ht="15" x14ac:dyDescent="0.25">
      <c r="A1737" s="31" t="s">
        <v>2422</v>
      </c>
    </row>
    <row r="1738" spans="1:1" ht="15" x14ac:dyDescent="0.25">
      <c r="A1738" s="31" t="s">
        <v>2423</v>
      </c>
    </row>
    <row r="1739" spans="1:1" ht="15" x14ac:dyDescent="0.25">
      <c r="A1739" s="31" t="s">
        <v>2424</v>
      </c>
    </row>
    <row r="1740" spans="1:1" ht="15" x14ac:dyDescent="0.25">
      <c r="A1740" s="31" t="s">
        <v>2425</v>
      </c>
    </row>
    <row r="1741" spans="1:1" ht="15" x14ac:dyDescent="0.25">
      <c r="A1741" s="31" t="s">
        <v>2426</v>
      </c>
    </row>
    <row r="1742" spans="1:1" ht="15" x14ac:dyDescent="0.25">
      <c r="A1742" s="31" t="s">
        <v>2427</v>
      </c>
    </row>
    <row r="1743" spans="1:1" ht="15" x14ac:dyDescent="0.25">
      <c r="A1743" s="31" t="s">
        <v>2428</v>
      </c>
    </row>
    <row r="1744" spans="1:1" ht="15" x14ac:dyDescent="0.25">
      <c r="A1744" s="31" t="s">
        <v>2429</v>
      </c>
    </row>
    <row r="1745" spans="1:1" ht="15" x14ac:dyDescent="0.25">
      <c r="A1745" s="31" t="s">
        <v>2430</v>
      </c>
    </row>
    <row r="1746" spans="1:1" ht="15" x14ac:dyDescent="0.25">
      <c r="A1746" s="31" t="s">
        <v>2431</v>
      </c>
    </row>
    <row r="1747" spans="1:1" ht="15" x14ac:dyDescent="0.25">
      <c r="A1747" s="31" t="s">
        <v>2432</v>
      </c>
    </row>
    <row r="1748" spans="1:1" ht="15" x14ac:dyDescent="0.25">
      <c r="A1748" s="31" t="s">
        <v>2433</v>
      </c>
    </row>
    <row r="1749" spans="1:1" ht="15" x14ac:dyDescent="0.25">
      <c r="A1749" s="31" t="s">
        <v>2434</v>
      </c>
    </row>
    <row r="1750" spans="1:1" ht="15" x14ac:dyDescent="0.25">
      <c r="A1750" s="31" t="s">
        <v>2435</v>
      </c>
    </row>
    <row r="1751" spans="1:1" ht="15" x14ac:dyDescent="0.25">
      <c r="A1751" s="31" t="s">
        <v>2436</v>
      </c>
    </row>
    <row r="1752" spans="1:1" ht="15" x14ac:dyDescent="0.25">
      <c r="A1752" s="31" t="s">
        <v>2437</v>
      </c>
    </row>
    <row r="1753" spans="1:1" ht="15" x14ac:dyDescent="0.25">
      <c r="A1753" s="31" t="s">
        <v>2438</v>
      </c>
    </row>
    <row r="1754" spans="1:1" ht="15" x14ac:dyDescent="0.25">
      <c r="A1754" s="31" t="s">
        <v>2439</v>
      </c>
    </row>
    <row r="1755" spans="1:1" ht="15" x14ac:dyDescent="0.25">
      <c r="A1755" s="31" t="s">
        <v>2440</v>
      </c>
    </row>
    <row r="1756" spans="1:1" ht="15" x14ac:dyDescent="0.25">
      <c r="A1756" s="31" t="s">
        <v>2441</v>
      </c>
    </row>
    <row r="1757" spans="1:1" ht="15" x14ac:dyDescent="0.25">
      <c r="A1757" s="31" t="s">
        <v>2442</v>
      </c>
    </row>
    <row r="1758" spans="1:1" ht="15" x14ac:dyDescent="0.25">
      <c r="A1758" s="31" t="s">
        <v>2443</v>
      </c>
    </row>
    <row r="1759" spans="1:1" ht="15" x14ac:dyDescent="0.25">
      <c r="A1759" s="31" t="s">
        <v>2444</v>
      </c>
    </row>
    <row r="1760" spans="1:1" ht="15" x14ac:dyDescent="0.25">
      <c r="A1760" s="31" t="s">
        <v>2445</v>
      </c>
    </row>
    <row r="1761" spans="1:1" ht="15" x14ac:dyDescent="0.25">
      <c r="A1761" s="31" t="s">
        <v>2446</v>
      </c>
    </row>
    <row r="1762" spans="1:1" ht="15" x14ac:dyDescent="0.25">
      <c r="A1762" s="31" t="s">
        <v>2447</v>
      </c>
    </row>
    <row r="1763" spans="1:1" ht="15" x14ac:dyDescent="0.25">
      <c r="A1763" s="31" t="s">
        <v>2448</v>
      </c>
    </row>
    <row r="1764" spans="1:1" ht="15" x14ac:dyDescent="0.25">
      <c r="A1764" s="31" t="s">
        <v>2449</v>
      </c>
    </row>
    <row r="1765" spans="1:1" ht="15" x14ac:dyDescent="0.25">
      <c r="A1765" s="31" t="s">
        <v>2450</v>
      </c>
    </row>
    <row r="1766" spans="1:1" ht="15" x14ac:dyDescent="0.25">
      <c r="A1766" s="31" t="s">
        <v>2451</v>
      </c>
    </row>
    <row r="1767" spans="1:1" ht="15" x14ac:dyDescent="0.25">
      <c r="A1767" s="31" t="s">
        <v>2452</v>
      </c>
    </row>
    <row r="1768" spans="1:1" ht="15" x14ac:dyDescent="0.25">
      <c r="A1768" s="31" t="s">
        <v>2453</v>
      </c>
    </row>
    <row r="1769" spans="1:1" ht="15" x14ac:dyDescent="0.25">
      <c r="A1769" s="31" t="s">
        <v>2454</v>
      </c>
    </row>
    <row r="1770" spans="1:1" ht="15" x14ac:dyDescent="0.25">
      <c r="A1770" s="31" t="s">
        <v>2455</v>
      </c>
    </row>
    <row r="1771" spans="1:1" ht="15" x14ac:dyDescent="0.25">
      <c r="A1771" s="31" t="s">
        <v>2456</v>
      </c>
    </row>
    <row r="1772" spans="1:1" ht="15" x14ac:dyDescent="0.25">
      <c r="A1772" s="31" t="s">
        <v>2457</v>
      </c>
    </row>
    <row r="1773" spans="1:1" ht="15" x14ac:dyDescent="0.25">
      <c r="A1773" s="31" t="s">
        <v>2458</v>
      </c>
    </row>
    <row r="1774" spans="1:1" ht="15" x14ac:dyDescent="0.25">
      <c r="A1774" s="31" t="s">
        <v>2459</v>
      </c>
    </row>
    <row r="1775" spans="1:1" ht="15" x14ac:dyDescent="0.25">
      <c r="A1775" s="31" t="s">
        <v>2460</v>
      </c>
    </row>
    <row r="1776" spans="1:1" ht="15" x14ac:dyDescent="0.25">
      <c r="A1776" s="31" t="s">
        <v>2461</v>
      </c>
    </row>
    <row r="1777" spans="1:1" ht="15" x14ac:dyDescent="0.25">
      <c r="A1777" s="31" t="s">
        <v>2462</v>
      </c>
    </row>
    <row r="1778" spans="1:1" ht="15" x14ac:dyDescent="0.25">
      <c r="A1778" s="31" t="s">
        <v>2463</v>
      </c>
    </row>
    <row r="1779" spans="1:1" ht="15" x14ac:dyDescent="0.25">
      <c r="A1779" s="31" t="s">
        <v>2464</v>
      </c>
    </row>
    <row r="1780" spans="1:1" ht="15" x14ac:dyDescent="0.25">
      <c r="A1780" s="31" t="s">
        <v>2465</v>
      </c>
    </row>
    <row r="1781" spans="1:1" ht="15" x14ac:dyDescent="0.25">
      <c r="A1781" s="31" t="s">
        <v>2466</v>
      </c>
    </row>
    <row r="1782" spans="1:1" ht="15" x14ac:dyDescent="0.25">
      <c r="A1782" s="31" t="s">
        <v>2467</v>
      </c>
    </row>
    <row r="1783" spans="1:1" ht="15" x14ac:dyDescent="0.25">
      <c r="A1783" s="31" t="s">
        <v>2468</v>
      </c>
    </row>
    <row r="1784" spans="1:1" ht="15" x14ac:dyDescent="0.25">
      <c r="A1784" s="31" t="s">
        <v>2469</v>
      </c>
    </row>
    <row r="1785" spans="1:1" ht="15" x14ac:dyDescent="0.25">
      <c r="A1785" s="31" t="s">
        <v>2470</v>
      </c>
    </row>
    <row r="1786" spans="1:1" ht="15" x14ac:dyDescent="0.25">
      <c r="A1786" s="31" t="s">
        <v>2471</v>
      </c>
    </row>
    <row r="1787" spans="1:1" ht="15" x14ac:dyDescent="0.25">
      <c r="A1787" s="31" t="s">
        <v>2472</v>
      </c>
    </row>
    <row r="1788" spans="1:1" ht="15" x14ac:dyDescent="0.25">
      <c r="A1788" s="31" t="s">
        <v>2473</v>
      </c>
    </row>
    <row r="1789" spans="1:1" ht="15" x14ac:dyDescent="0.25">
      <c r="A1789" s="31" t="s">
        <v>2474</v>
      </c>
    </row>
    <row r="1790" spans="1:1" ht="15" x14ac:dyDescent="0.25">
      <c r="A1790" s="31" t="s">
        <v>2475</v>
      </c>
    </row>
    <row r="1791" spans="1:1" ht="15" x14ac:dyDescent="0.25">
      <c r="A1791" s="31" t="s">
        <v>2476</v>
      </c>
    </row>
    <row r="1792" spans="1:1" ht="15" x14ac:dyDescent="0.25">
      <c r="A1792" s="31" t="s">
        <v>2477</v>
      </c>
    </row>
    <row r="1793" spans="1:1" ht="15" x14ac:dyDescent="0.25">
      <c r="A1793" s="31" t="s">
        <v>2478</v>
      </c>
    </row>
    <row r="1794" spans="1:1" ht="15" x14ac:dyDescent="0.25">
      <c r="A1794" s="31" t="s">
        <v>2479</v>
      </c>
    </row>
    <row r="1795" spans="1:1" ht="15" x14ac:dyDescent="0.25">
      <c r="A1795" s="31" t="s">
        <v>2480</v>
      </c>
    </row>
    <row r="1796" spans="1:1" ht="15" x14ac:dyDescent="0.25">
      <c r="A1796" s="31" t="s">
        <v>2481</v>
      </c>
    </row>
    <row r="1797" spans="1:1" ht="15" x14ac:dyDescent="0.25">
      <c r="A1797" s="31" t="s">
        <v>2482</v>
      </c>
    </row>
    <row r="1798" spans="1:1" ht="15" x14ac:dyDescent="0.25">
      <c r="A1798" s="31" t="s">
        <v>2483</v>
      </c>
    </row>
    <row r="1799" spans="1:1" ht="15" x14ac:dyDescent="0.25">
      <c r="A1799" s="31" t="s">
        <v>2484</v>
      </c>
    </row>
    <row r="1800" spans="1:1" ht="15" x14ac:dyDescent="0.25">
      <c r="A1800" s="31" t="s">
        <v>2485</v>
      </c>
    </row>
    <row r="1801" spans="1:1" ht="15" x14ac:dyDescent="0.25">
      <c r="A1801" s="31" t="s">
        <v>2486</v>
      </c>
    </row>
    <row r="1802" spans="1:1" ht="15" x14ac:dyDescent="0.25">
      <c r="A1802" s="31" t="s">
        <v>2487</v>
      </c>
    </row>
    <row r="1803" spans="1:1" ht="15" x14ac:dyDescent="0.25">
      <c r="A1803" s="31" t="s">
        <v>2488</v>
      </c>
    </row>
    <row r="1804" spans="1:1" ht="15" x14ac:dyDescent="0.25">
      <c r="A1804" s="31" t="s">
        <v>2489</v>
      </c>
    </row>
    <row r="1805" spans="1:1" ht="15" x14ac:dyDescent="0.25">
      <c r="A1805" s="31" t="s">
        <v>2490</v>
      </c>
    </row>
    <row r="1806" spans="1:1" ht="15" x14ac:dyDescent="0.25">
      <c r="A1806" s="31" t="s">
        <v>2491</v>
      </c>
    </row>
    <row r="1807" spans="1:1" ht="15" x14ac:dyDescent="0.25">
      <c r="A1807" s="31" t="s">
        <v>2492</v>
      </c>
    </row>
    <row r="1808" spans="1:1" ht="15" x14ac:dyDescent="0.25">
      <c r="A1808" s="31" t="s">
        <v>2493</v>
      </c>
    </row>
    <row r="1809" spans="1:1" ht="15" x14ac:dyDescent="0.25">
      <c r="A1809" s="31" t="s">
        <v>2494</v>
      </c>
    </row>
    <row r="1810" spans="1:1" ht="15" x14ac:dyDescent="0.25">
      <c r="A1810" s="31" t="s">
        <v>2495</v>
      </c>
    </row>
    <row r="1811" spans="1:1" ht="15" x14ac:dyDescent="0.25">
      <c r="A1811" s="31" t="s">
        <v>2496</v>
      </c>
    </row>
    <row r="1812" spans="1:1" ht="15" x14ac:dyDescent="0.25">
      <c r="A1812" s="31" t="s">
        <v>2497</v>
      </c>
    </row>
    <row r="1813" spans="1:1" ht="15" x14ac:dyDescent="0.25">
      <c r="A1813" s="31" t="s">
        <v>2498</v>
      </c>
    </row>
    <row r="1814" spans="1:1" ht="15" x14ac:dyDescent="0.25">
      <c r="A1814" s="31" t="s">
        <v>2499</v>
      </c>
    </row>
    <row r="1815" spans="1:1" ht="15" x14ac:dyDescent="0.25">
      <c r="A1815" s="31" t="s">
        <v>2500</v>
      </c>
    </row>
    <row r="1816" spans="1:1" ht="15" x14ac:dyDescent="0.25">
      <c r="A1816" s="31" t="s">
        <v>2501</v>
      </c>
    </row>
    <row r="1817" spans="1:1" ht="15" x14ac:dyDescent="0.25">
      <c r="A1817" s="31" t="s">
        <v>2502</v>
      </c>
    </row>
    <row r="1818" spans="1:1" ht="15" x14ac:dyDescent="0.25">
      <c r="A1818" s="31" t="s">
        <v>2503</v>
      </c>
    </row>
    <row r="1819" spans="1:1" ht="15" x14ac:dyDescent="0.25">
      <c r="A1819" s="31" t="s">
        <v>2504</v>
      </c>
    </row>
    <row r="1820" spans="1:1" ht="15" x14ac:dyDescent="0.25">
      <c r="A1820" s="31" t="s">
        <v>2505</v>
      </c>
    </row>
    <row r="1821" spans="1:1" ht="15" x14ac:dyDescent="0.25">
      <c r="A1821" s="31" t="s">
        <v>2506</v>
      </c>
    </row>
    <row r="1822" spans="1:1" ht="15" x14ac:dyDescent="0.25">
      <c r="A1822" s="31" t="s">
        <v>2507</v>
      </c>
    </row>
    <row r="1823" spans="1:1" ht="15" x14ac:dyDescent="0.25">
      <c r="A1823" s="31" t="s">
        <v>2508</v>
      </c>
    </row>
    <row r="1824" spans="1:1" ht="15" x14ac:dyDescent="0.25">
      <c r="A1824" s="31" t="s">
        <v>2509</v>
      </c>
    </row>
    <row r="1825" spans="1:1" ht="15" x14ac:dyDescent="0.25">
      <c r="A1825" s="31" t="s">
        <v>2510</v>
      </c>
    </row>
    <row r="1826" spans="1:1" ht="15" x14ac:dyDescent="0.25">
      <c r="A1826" s="31" t="s">
        <v>2511</v>
      </c>
    </row>
    <row r="1827" spans="1:1" ht="15" x14ac:dyDescent="0.25">
      <c r="A1827" s="31" t="s">
        <v>2512</v>
      </c>
    </row>
    <row r="1828" spans="1:1" ht="15" x14ac:dyDescent="0.25">
      <c r="A1828" s="31" t="s">
        <v>2513</v>
      </c>
    </row>
    <row r="1829" spans="1:1" ht="15" x14ac:dyDescent="0.25">
      <c r="A1829" s="31" t="s">
        <v>2514</v>
      </c>
    </row>
    <row r="1830" spans="1:1" ht="15" x14ac:dyDescent="0.25">
      <c r="A1830" s="31" t="s">
        <v>2515</v>
      </c>
    </row>
    <row r="1831" spans="1:1" ht="15" x14ac:dyDescent="0.25">
      <c r="A1831" s="31" t="s">
        <v>2516</v>
      </c>
    </row>
    <row r="1832" spans="1:1" ht="15" x14ac:dyDescent="0.25">
      <c r="A1832" s="31" t="s">
        <v>2517</v>
      </c>
    </row>
    <row r="1833" spans="1:1" ht="15" x14ac:dyDescent="0.25">
      <c r="A1833" s="31" t="s">
        <v>2518</v>
      </c>
    </row>
    <row r="1834" spans="1:1" ht="15" x14ac:dyDescent="0.25">
      <c r="A1834" s="31" t="s">
        <v>2519</v>
      </c>
    </row>
    <row r="1835" spans="1:1" ht="15" x14ac:dyDescent="0.25">
      <c r="A1835" s="31" t="s">
        <v>2520</v>
      </c>
    </row>
    <row r="1836" spans="1:1" ht="15" x14ac:dyDescent="0.25">
      <c r="A1836" s="31" t="s">
        <v>2521</v>
      </c>
    </row>
    <row r="1837" spans="1:1" ht="15" x14ac:dyDescent="0.25">
      <c r="A1837" s="31" t="s">
        <v>2522</v>
      </c>
    </row>
    <row r="1838" spans="1:1" ht="15" x14ac:dyDescent="0.25">
      <c r="A1838" s="31" t="s">
        <v>2523</v>
      </c>
    </row>
    <row r="1839" spans="1:1" ht="15" x14ac:dyDescent="0.25">
      <c r="A1839" s="31" t="s">
        <v>2524</v>
      </c>
    </row>
    <row r="1840" spans="1:1" ht="15" x14ac:dyDescent="0.25">
      <c r="A1840" s="31" t="s">
        <v>2525</v>
      </c>
    </row>
    <row r="1841" spans="1:1" ht="15" x14ac:dyDescent="0.25">
      <c r="A1841" s="31" t="s">
        <v>2526</v>
      </c>
    </row>
    <row r="1842" spans="1:1" ht="15" x14ac:dyDescent="0.25">
      <c r="A1842" s="31" t="s">
        <v>2527</v>
      </c>
    </row>
    <row r="1843" spans="1:1" ht="15" x14ac:dyDescent="0.25">
      <c r="A1843" s="31" t="s">
        <v>2528</v>
      </c>
    </row>
    <row r="1844" spans="1:1" ht="15" x14ac:dyDescent="0.25">
      <c r="A1844" s="31" t="s">
        <v>2529</v>
      </c>
    </row>
    <row r="1845" spans="1:1" ht="15" x14ac:dyDescent="0.25">
      <c r="A1845" s="31" t="s">
        <v>2530</v>
      </c>
    </row>
    <row r="1846" spans="1:1" ht="15" x14ac:dyDescent="0.25">
      <c r="A1846" s="31" t="s">
        <v>2531</v>
      </c>
    </row>
    <row r="1847" spans="1:1" ht="15" x14ac:dyDescent="0.25">
      <c r="A1847" s="31" t="s">
        <v>2532</v>
      </c>
    </row>
    <row r="1848" spans="1:1" ht="15" x14ac:dyDescent="0.25">
      <c r="A1848" s="31" t="s">
        <v>2533</v>
      </c>
    </row>
    <row r="1849" spans="1:1" ht="15" x14ac:dyDescent="0.25">
      <c r="A1849" s="31" t="s">
        <v>2534</v>
      </c>
    </row>
    <row r="1850" spans="1:1" ht="15" x14ac:dyDescent="0.25">
      <c r="A1850" s="31" t="s">
        <v>2535</v>
      </c>
    </row>
    <row r="1851" spans="1:1" ht="15" x14ac:dyDescent="0.25">
      <c r="A1851" s="31" t="s">
        <v>2536</v>
      </c>
    </row>
    <row r="1852" spans="1:1" ht="15" x14ac:dyDescent="0.25">
      <c r="A1852" s="31" t="s">
        <v>2537</v>
      </c>
    </row>
    <row r="1853" spans="1:1" ht="15" x14ac:dyDescent="0.25">
      <c r="A1853" s="31" t="s">
        <v>2538</v>
      </c>
    </row>
    <row r="1854" spans="1:1" ht="15" x14ac:dyDescent="0.25">
      <c r="A1854" s="31" t="s">
        <v>2539</v>
      </c>
    </row>
    <row r="1855" spans="1:1" ht="15" x14ac:dyDescent="0.25">
      <c r="A1855" s="31" t="s">
        <v>2540</v>
      </c>
    </row>
    <row r="1856" spans="1:1" ht="15" x14ac:dyDescent="0.25">
      <c r="A1856" s="31" t="s">
        <v>2541</v>
      </c>
    </row>
    <row r="1857" spans="1:1" ht="15" x14ac:dyDescent="0.25">
      <c r="A1857" s="31" t="s">
        <v>2542</v>
      </c>
    </row>
    <row r="1858" spans="1:1" ht="15" x14ac:dyDescent="0.25">
      <c r="A1858" s="31" t="s">
        <v>2543</v>
      </c>
    </row>
    <row r="1859" spans="1:1" ht="15" x14ac:dyDescent="0.25">
      <c r="A1859" s="31" t="s">
        <v>2544</v>
      </c>
    </row>
    <row r="1860" spans="1:1" ht="15" x14ac:dyDescent="0.25">
      <c r="A1860" s="31" t="s">
        <v>2545</v>
      </c>
    </row>
    <row r="1861" spans="1:1" ht="15" x14ac:dyDescent="0.25">
      <c r="A1861" s="31" t="s">
        <v>2546</v>
      </c>
    </row>
    <row r="1862" spans="1:1" ht="15" x14ac:dyDescent="0.25">
      <c r="A1862" s="31" t="s">
        <v>2547</v>
      </c>
    </row>
    <row r="1863" spans="1:1" ht="15" x14ac:dyDescent="0.25">
      <c r="A1863" s="31" t="s">
        <v>2548</v>
      </c>
    </row>
    <row r="1864" spans="1:1" ht="15" x14ac:dyDescent="0.25">
      <c r="A1864" s="31" t="s">
        <v>2549</v>
      </c>
    </row>
    <row r="1865" spans="1:1" ht="15" x14ac:dyDescent="0.25">
      <c r="A1865" s="31" t="s">
        <v>2550</v>
      </c>
    </row>
    <row r="1866" spans="1:1" ht="15" x14ac:dyDescent="0.25">
      <c r="A1866" s="31" t="s">
        <v>2551</v>
      </c>
    </row>
    <row r="1867" spans="1:1" ht="15" x14ac:dyDescent="0.25">
      <c r="A1867" s="31" t="s">
        <v>2552</v>
      </c>
    </row>
    <row r="1868" spans="1:1" ht="15" x14ac:dyDescent="0.25">
      <c r="A1868" s="31" t="s">
        <v>2553</v>
      </c>
    </row>
    <row r="1869" spans="1:1" ht="15" x14ac:dyDescent="0.25">
      <c r="A1869" s="31" t="s">
        <v>2554</v>
      </c>
    </row>
    <row r="1870" spans="1:1" ht="15" x14ac:dyDescent="0.25">
      <c r="A1870" s="31" t="s">
        <v>2555</v>
      </c>
    </row>
    <row r="1871" spans="1:1" ht="15" x14ac:dyDescent="0.25">
      <c r="A1871" s="31" t="s">
        <v>2556</v>
      </c>
    </row>
    <row r="1872" spans="1:1" ht="15" x14ac:dyDescent="0.25">
      <c r="A1872" s="31" t="s">
        <v>2557</v>
      </c>
    </row>
    <row r="1873" spans="1:1" ht="15" x14ac:dyDescent="0.25">
      <c r="A1873" s="31" t="s">
        <v>2558</v>
      </c>
    </row>
    <row r="1874" spans="1:1" ht="15" x14ac:dyDescent="0.25">
      <c r="A1874" s="31" t="s">
        <v>2559</v>
      </c>
    </row>
    <row r="1875" spans="1:1" ht="15" x14ac:dyDescent="0.25">
      <c r="A1875" s="31" t="s">
        <v>2560</v>
      </c>
    </row>
    <row r="1876" spans="1:1" ht="15" x14ac:dyDescent="0.25">
      <c r="A1876" s="31" t="s">
        <v>2561</v>
      </c>
    </row>
    <row r="1877" spans="1:1" ht="15" x14ac:dyDescent="0.25">
      <c r="A1877" s="31" t="s">
        <v>2562</v>
      </c>
    </row>
    <row r="1878" spans="1:1" ht="15" x14ac:dyDescent="0.25">
      <c r="A1878" s="31" t="s">
        <v>2563</v>
      </c>
    </row>
    <row r="1879" spans="1:1" ht="15" x14ac:dyDescent="0.25">
      <c r="A1879" s="31" t="s">
        <v>2564</v>
      </c>
    </row>
    <row r="1880" spans="1:1" ht="15" x14ac:dyDescent="0.25">
      <c r="A1880" s="31" t="s">
        <v>2565</v>
      </c>
    </row>
    <row r="1881" spans="1:1" ht="15" x14ac:dyDescent="0.25">
      <c r="A1881" s="31" t="s">
        <v>2566</v>
      </c>
    </row>
    <row r="1882" spans="1:1" ht="15" x14ac:dyDescent="0.25">
      <c r="A1882" s="31" t="s">
        <v>2567</v>
      </c>
    </row>
    <row r="1883" spans="1:1" ht="15" x14ac:dyDescent="0.25">
      <c r="A1883" s="31" t="s">
        <v>2568</v>
      </c>
    </row>
    <row r="1884" spans="1:1" ht="15" x14ac:dyDescent="0.25">
      <c r="A1884" s="31" t="s">
        <v>2569</v>
      </c>
    </row>
    <row r="1885" spans="1:1" ht="15" x14ac:dyDescent="0.25">
      <c r="A1885" s="31" t="s">
        <v>2570</v>
      </c>
    </row>
    <row r="1886" spans="1:1" ht="15" x14ac:dyDescent="0.25">
      <c r="A1886" s="31" t="s">
        <v>2571</v>
      </c>
    </row>
    <row r="1887" spans="1:1" ht="15" x14ac:dyDescent="0.25">
      <c r="A1887" s="31" t="s">
        <v>2572</v>
      </c>
    </row>
    <row r="1888" spans="1:1" ht="15" x14ac:dyDescent="0.25">
      <c r="A1888" s="31" t="s">
        <v>2573</v>
      </c>
    </row>
    <row r="1889" spans="1:1" ht="15" x14ac:dyDescent="0.25">
      <c r="A1889" s="31" t="s">
        <v>2574</v>
      </c>
    </row>
    <row r="1890" spans="1:1" ht="15" x14ac:dyDescent="0.25">
      <c r="A1890" s="31" t="s">
        <v>2575</v>
      </c>
    </row>
    <row r="1891" spans="1:1" ht="15" x14ac:dyDescent="0.25">
      <c r="A1891" s="31" t="s">
        <v>2576</v>
      </c>
    </row>
    <row r="1892" spans="1:1" ht="15" x14ac:dyDescent="0.25">
      <c r="A1892" s="31" t="s">
        <v>2577</v>
      </c>
    </row>
    <row r="1893" spans="1:1" ht="15" x14ac:dyDescent="0.25">
      <c r="A1893" s="31" t="s">
        <v>2578</v>
      </c>
    </row>
    <row r="1894" spans="1:1" ht="15" x14ac:dyDescent="0.25">
      <c r="A1894" s="31" t="s">
        <v>2579</v>
      </c>
    </row>
    <row r="1895" spans="1:1" ht="15" x14ac:dyDescent="0.25">
      <c r="A1895" s="31" t="s">
        <v>2580</v>
      </c>
    </row>
    <row r="1896" spans="1:1" ht="15" x14ac:dyDescent="0.25">
      <c r="A1896" s="31" t="s">
        <v>2581</v>
      </c>
    </row>
    <row r="1897" spans="1:1" ht="15" x14ac:dyDescent="0.25">
      <c r="A1897" s="31" t="s">
        <v>2582</v>
      </c>
    </row>
    <row r="1898" spans="1:1" ht="15" x14ac:dyDescent="0.25">
      <c r="A1898" s="31" t="s">
        <v>2583</v>
      </c>
    </row>
    <row r="1899" spans="1:1" ht="15" x14ac:dyDescent="0.25">
      <c r="A1899" s="31" t="s">
        <v>2584</v>
      </c>
    </row>
    <row r="1900" spans="1:1" ht="15" x14ac:dyDescent="0.25">
      <c r="A1900" s="31" t="s">
        <v>2585</v>
      </c>
    </row>
    <row r="1901" spans="1:1" ht="15" x14ac:dyDescent="0.25">
      <c r="A1901" s="31" t="s">
        <v>2586</v>
      </c>
    </row>
    <row r="1902" spans="1:1" ht="15" x14ac:dyDescent="0.25">
      <c r="A1902" s="31" t="s">
        <v>2587</v>
      </c>
    </row>
    <row r="1903" spans="1:1" ht="15" x14ac:dyDescent="0.25">
      <c r="A1903" s="31" t="s">
        <v>2588</v>
      </c>
    </row>
    <row r="1904" spans="1:1" ht="15" x14ac:dyDescent="0.25">
      <c r="A1904" s="31" t="s">
        <v>2589</v>
      </c>
    </row>
    <row r="1905" spans="1:1" ht="15" x14ac:dyDescent="0.25">
      <c r="A1905" s="31" t="s">
        <v>2590</v>
      </c>
    </row>
    <row r="1906" spans="1:1" ht="15" x14ac:dyDescent="0.25">
      <c r="A1906" s="31" t="s">
        <v>2591</v>
      </c>
    </row>
    <row r="1907" spans="1:1" ht="15" x14ac:dyDescent="0.25">
      <c r="A1907" s="31" t="s">
        <v>2592</v>
      </c>
    </row>
    <row r="1908" spans="1:1" ht="15" x14ac:dyDescent="0.25">
      <c r="A1908" s="31" t="s">
        <v>2593</v>
      </c>
    </row>
    <row r="1909" spans="1:1" ht="15" x14ac:dyDescent="0.25">
      <c r="A1909" s="31" t="s">
        <v>2594</v>
      </c>
    </row>
    <row r="1910" spans="1:1" ht="15" x14ac:dyDescent="0.25">
      <c r="A1910" s="31" t="s">
        <v>2595</v>
      </c>
    </row>
    <row r="1911" spans="1:1" ht="15" x14ac:dyDescent="0.25">
      <c r="A1911" s="31" t="s">
        <v>2596</v>
      </c>
    </row>
    <row r="1912" spans="1:1" ht="15" x14ac:dyDescent="0.25">
      <c r="A1912" s="31" t="s">
        <v>2597</v>
      </c>
    </row>
    <row r="1913" spans="1:1" ht="15" x14ac:dyDescent="0.25">
      <c r="A1913" s="31" t="s">
        <v>2598</v>
      </c>
    </row>
    <row r="1914" spans="1:1" ht="15" x14ac:dyDescent="0.25">
      <c r="A1914" s="31" t="s">
        <v>2599</v>
      </c>
    </row>
    <row r="1915" spans="1:1" ht="15" x14ac:dyDescent="0.25">
      <c r="A1915" s="31" t="s">
        <v>2600</v>
      </c>
    </row>
    <row r="1916" spans="1:1" ht="15" x14ac:dyDescent="0.25">
      <c r="A1916" s="31" t="s">
        <v>2601</v>
      </c>
    </row>
    <row r="1917" spans="1:1" ht="15" x14ac:dyDescent="0.25">
      <c r="A1917" s="31" t="s">
        <v>2602</v>
      </c>
    </row>
    <row r="1918" spans="1:1" ht="15" x14ac:dyDescent="0.25">
      <c r="A1918" s="31" t="s">
        <v>2603</v>
      </c>
    </row>
    <row r="1919" spans="1:1" ht="15" x14ac:dyDescent="0.25">
      <c r="A1919" s="31" t="s">
        <v>2604</v>
      </c>
    </row>
    <row r="1920" spans="1:1" ht="15" x14ac:dyDescent="0.25">
      <c r="A1920" s="31" t="s">
        <v>2605</v>
      </c>
    </row>
    <row r="1921" spans="1:1" ht="15" x14ac:dyDescent="0.25">
      <c r="A1921" s="31" t="s">
        <v>2606</v>
      </c>
    </row>
    <row r="1922" spans="1:1" ht="15" x14ac:dyDescent="0.25">
      <c r="A1922" s="31" t="s">
        <v>2607</v>
      </c>
    </row>
    <row r="1923" spans="1:1" ht="15" x14ac:dyDescent="0.25">
      <c r="A1923" s="31" t="s">
        <v>2608</v>
      </c>
    </row>
    <row r="1924" spans="1:1" ht="15" x14ac:dyDescent="0.25">
      <c r="A1924" s="31" t="s">
        <v>2609</v>
      </c>
    </row>
    <row r="1925" spans="1:1" ht="15" x14ac:dyDescent="0.25">
      <c r="A1925" s="31" t="s">
        <v>2610</v>
      </c>
    </row>
    <row r="1926" spans="1:1" ht="15" x14ac:dyDescent="0.25">
      <c r="A1926" s="31" t="s">
        <v>2611</v>
      </c>
    </row>
    <row r="1927" spans="1:1" ht="15" x14ac:dyDescent="0.25">
      <c r="A1927" s="31" t="s">
        <v>2612</v>
      </c>
    </row>
    <row r="1928" spans="1:1" ht="15" x14ac:dyDescent="0.25">
      <c r="A1928" s="31" t="s">
        <v>2613</v>
      </c>
    </row>
    <row r="1929" spans="1:1" ht="15" x14ac:dyDescent="0.25">
      <c r="A1929" s="31" t="s">
        <v>2614</v>
      </c>
    </row>
    <row r="1930" spans="1:1" ht="15" x14ac:dyDescent="0.25">
      <c r="A1930" s="31" t="s">
        <v>2615</v>
      </c>
    </row>
    <row r="1931" spans="1:1" ht="15" x14ac:dyDescent="0.25">
      <c r="A1931" s="31" t="s">
        <v>2616</v>
      </c>
    </row>
    <row r="1932" spans="1:1" ht="15" x14ac:dyDescent="0.25">
      <c r="A1932" s="31" t="s">
        <v>2617</v>
      </c>
    </row>
    <row r="1933" spans="1:1" ht="15" x14ac:dyDescent="0.25">
      <c r="A1933" s="31" t="s">
        <v>2618</v>
      </c>
    </row>
    <row r="1934" spans="1:1" ht="15" x14ac:dyDescent="0.25">
      <c r="A1934" s="31" t="s">
        <v>2619</v>
      </c>
    </row>
    <row r="1935" spans="1:1" ht="15" x14ac:dyDescent="0.25">
      <c r="A1935" s="31" t="s">
        <v>2620</v>
      </c>
    </row>
    <row r="1936" spans="1:1" ht="15" x14ac:dyDescent="0.25">
      <c r="A1936" s="31" t="s">
        <v>2621</v>
      </c>
    </row>
    <row r="1937" spans="1:1" ht="15" x14ac:dyDescent="0.25">
      <c r="A1937" s="31" t="s">
        <v>2622</v>
      </c>
    </row>
    <row r="1938" spans="1:1" ht="15" x14ac:dyDescent="0.25">
      <c r="A1938" s="31" t="s">
        <v>2623</v>
      </c>
    </row>
    <row r="1939" spans="1:1" ht="15" x14ac:dyDescent="0.25">
      <c r="A1939" s="31" t="s">
        <v>2624</v>
      </c>
    </row>
    <row r="1940" spans="1:1" ht="15" x14ac:dyDescent="0.25">
      <c r="A1940" s="31" t="s">
        <v>2625</v>
      </c>
    </row>
    <row r="1941" spans="1:1" ht="15" x14ac:dyDescent="0.25">
      <c r="A1941" s="31" t="s">
        <v>2626</v>
      </c>
    </row>
    <row r="1942" spans="1:1" ht="15" x14ac:dyDescent="0.25">
      <c r="A1942" s="31" t="s">
        <v>2627</v>
      </c>
    </row>
    <row r="1943" spans="1:1" ht="15" x14ac:dyDescent="0.25">
      <c r="A1943" s="31" t="s">
        <v>2628</v>
      </c>
    </row>
    <row r="1944" spans="1:1" ht="15" x14ac:dyDescent="0.25">
      <c r="A1944" s="31" t="s">
        <v>2629</v>
      </c>
    </row>
    <row r="1945" spans="1:1" ht="15" x14ac:dyDescent="0.25">
      <c r="A1945" s="31" t="s">
        <v>2630</v>
      </c>
    </row>
    <row r="1946" spans="1:1" ht="15" x14ac:dyDescent="0.25">
      <c r="A1946" s="31" t="s">
        <v>2631</v>
      </c>
    </row>
    <row r="1947" spans="1:1" ht="15" x14ac:dyDescent="0.25">
      <c r="A1947" s="31" t="s">
        <v>2632</v>
      </c>
    </row>
    <row r="1948" spans="1:1" ht="15" x14ac:dyDescent="0.25">
      <c r="A1948" s="31" t="s">
        <v>2633</v>
      </c>
    </row>
    <row r="1949" spans="1:1" ht="15" x14ac:dyDescent="0.25">
      <c r="A1949" s="31" t="s">
        <v>2634</v>
      </c>
    </row>
    <row r="1950" spans="1:1" ht="15" x14ac:dyDescent="0.25">
      <c r="A1950" s="31" t="s">
        <v>2635</v>
      </c>
    </row>
    <row r="1951" spans="1:1" ht="15" x14ac:dyDescent="0.25">
      <c r="A1951" s="31" t="s">
        <v>2636</v>
      </c>
    </row>
    <row r="1952" spans="1:1" ht="15" x14ac:dyDescent="0.25">
      <c r="A1952" s="31" t="s">
        <v>2637</v>
      </c>
    </row>
    <row r="1953" spans="1:1" ht="15" x14ac:dyDescent="0.25">
      <c r="A1953" s="31" t="s">
        <v>2638</v>
      </c>
    </row>
    <row r="1954" spans="1:1" ht="15" x14ac:dyDescent="0.25">
      <c r="A1954" s="31" t="s">
        <v>2639</v>
      </c>
    </row>
    <row r="1955" spans="1:1" ht="15" x14ac:dyDescent="0.25">
      <c r="A1955" s="31" t="s">
        <v>2640</v>
      </c>
    </row>
    <row r="1956" spans="1:1" ht="15" x14ac:dyDescent="0.25">
      <c r="A1956" s="31" t="s">
        <v>2641</v>
      </c>
    </row>
    <row r="1957" spans="1:1" ht="15" x14ac:dyDescent="0.25">
      <c r="A1957" s="31" t="s">
        <v>2642</v>
      </c>
    </row>
    <row r="1958" spans="1:1" ht="15" x14ac:dyDescent="0.25">
      <c r="A1958" s="31" t="s">
        <v>2643</v>
      </c>
    </row>
    <row r="1959" spans="1:1" ht="15" x14ac:dyDescent="0.25">
      <c r="A1959" s="31" t="s">
        <v>2644</v>
      </c>
    </row>
    <row r="1960" spans="1:1" ht="15" x14ac:dyDescent="0.25">
      <c r="A1960" s="31" t="s">
        <v>2645</v>
      </c>
    </row>
    <row r="1961" spans="1:1" ht="15" x14ac:dyDescent="0.25">
      <c r="A1961" s="31" t="s">
        <v>2646</v>
      </c>
    </row>
    <row r="1962" spans="1:1" ht="15" x14ac:dyDescent="0.25">
      <c r="A1962" s="31" t="s">
        <v>2647</v>
      </c>
    </row>
    <row r="1963" spans="1:1" ht="15" x14ac:dyDescent="0.25">
      <c r="A1963" s="31" t="s">
        <v>2648</v>
      </c>
    </row>
    <row r="1964" spans="1:1" ht="15" x14ac:dyDescent="0.25">
      <c r="A1964" s="31" t="s">
        <v>2649</v>
      </c>
    </row>
    <row r="1965" spans="1:1" ht="15" x14ac:dyDescent="0.25">
      <c r="A1965" s="31" t="s">
        <v>2650</v>
      </c>
    </row>
    <row r="1966" spans="1:1" ht="15" x14ac:dyDescent="0.25">
      <c r="A1966" s="31" t="s">
        <v>2651</v>
      </c>
    </row>
    <row r="1967" spans="1:1" ht="15" x14ac:dyDescent="0.25">
      <c r="A1967" s="31" t="s">
        <v>2652</v>
      </c>
    </row>
    <row r="1968" spans="1:1" ht="15" x14ac:dyDescent="0.25">
      <c r="A1968" s="31" t="s">
        <v>2653</v>
      </c>
    </row>
    <row r="1969" spans="1:1" ht="15" x14ac:dyDescent="0.25">
      <c r="A1969" s="31" t="s">
        <v>2654</v>
      </c>
    </row>
    <row r="1970" spans="1:1" ht="15" x14ac:dyDescent="0.25">
      <c r="A1970" s="31" t="s">
        <v>2655</v>
      </c>
    </row>
    <row r="1971" spans="1:1" ht="15" x14ac:dyDescent="0.25">
      <c r="A1971" s="31" t="s">
        <v>2656</v>
      </c>
    </row>
    <row r="1972" spans="1:1" ht="15" x14ac:dyDescent="0.25">
      <c r="A1972" s="31" t="s">
        <v>2657</v>
      </c>
    </row>
    <row r="1973" spans="1:1" ht="15" x14ac:dyDescent="0.25">
      <c r="A1973" s="31" t="s">
        <v>2658</v>
      </c>
    </row>
    <row r="1974" spans="1:1" ht="15" x14ac:dyDescent="0.25">
      <c r="A1974" s="31" t="s">
        <v>2659</v>
      </c>
    </row>
    <row r="1975" spans="1:1" ht="15" x14ac:dyDescent="0.25">
      <c r="A1975" s="31" t="s">
        <v>2660</v>
      </c>
    </row>
    <row r="1976" spans="1:1" ht="15" x14ac:dyDescent="0.25">
      <c r="A1976" s="31" t="s">
        <v>2661</v>
      </c>
    </row>
    <row r="1977" spans="1:1" ht="15" x14ac:dyDescent="0.25">
      <c r="A1977" s="31" t="s">
        <v>2662</v>
      </c>
    </row>
    <row r="1978" spans="1:1" ht="15" x14ac:dyDescent="0.25">
      <c r="A1978" s="31" t="s">
        <v>2663</v>
      </c>
    </row>
    <row r="1979" spans="1:1" ht="15" x14ac:dyDescent="0.25">
      <c r="A1979" s="31" t="s">
        <v>2664</v>
      </c>
    </row>
    <row r="1980" spans="1:1" ht="15" x14ac:dyDescent="0.25">
      <c r="A1980" s="31" t="s">
        <v>2665</v>
      </c>
    </row>
    <row r="1981" spans="1:1" ht="15" x14ac:dyDescent="0.25">
      <c r="A1981" s="31" t="s">
        <v>2666</v>
      </c>
    </row>
    <row r="1982" spans="1:1" ht="15" x14ac:dyDescent="0.25">
      <c r="A1982" s="31" t="s">
        <v>2667</v>
      </c>
    </row>
    <row r="1983" spans="1:1" ht="15" x14ac:dyDescent="0.25">
      <c r="A1983" s="31" t="s">
        <v>2668</v>
      </c>
    </row>
    <row r="1984" spans="1:1" ht="15" x14ac:dyDescent="0.25">
      <c r="A1984" s="31" t="s">
        <v>2669</v>
      </c>
    </row>
    <row r="1985" spans="1:1" ht="15" x14ac:dyDescent="0.25">
      <c r="A1985" s="31" t="s">
        <v>2670</v>
      </c>
    </row>
    <row r="1986" spans="1:1" ht="15" x14ac:dyDescent="0.25">
      <c r="A1986" s="31" t="s">
        <v>2671</v>
      </c>
    </row>
    <row r="1987" spans="1:1" ht="15" x14ac:dyDescent="0.25">
      <c r="A1987" s="31" t="s">
        <v>2672</v>
      </c>
    </row>
    <row r="1988" spans="1:1" ht="15" x14ac:dyDescent="0.25">
      <c r="A1988" s="31" t="s">
        <v>2673</v>
      </c>
    </row>
    <row r="1989" spans="1:1" ht="15" x14ac:dyDescent="0.25">
      <c r="A1989" s="31" t="s">
        <v>2674</v>
      </c>
    </row>
    <row r="1990" spans="1:1" ht="15" x14ac:dyDescent="0.25">
      <c r="A1990" s="31" t="s">
        <v>2675</v>
      </c>
    </row>
    <row r="1991" spans="1:1" ht="15" x14ac:dyDescent="0.25">
      <c r="A1991" s="31" t="s">
        <v>2676</v>
      </c>
    </row>
    <row r="1992" spans="1:1" ht="15" x14ac:dyDescent="0.25">
      <c r="A1992" s="31" t="s">
        <v>2677</v>
      </c>
    </row>
    <row r="1993" spans="1:1" ht="15" x14ac:dyDescent="0.25">
      <c r="A1993" s="31" t="s">
        <v>2678</v>
      </c>
    </row>
    <row r="1994" spans="1:1" ht="15" x14ac:dyDescent="0.25">
      <c r="A1994" s="31" t="s">
        <v>2679</v>
      </c>
    </row>
    <row r="1995" spans="1:1" ht="15" x14ac:dyDescent="0.25">
      <c r="A1995" s="31" t="s">
        <v>2680</v>
      </c>
    </row>
    <row r="1996" spans="1:1" ht="15" x14ac:dyDescent="0.25">
      <c r="A1996" s="31" t="s">
        <v>2681</v>
      </c>
    </row>
    <row r="1997" spans="1:1" ht="15" x14ac:dyDescent="0.25">
      <c r="A1997" s="31" t="s">
        <v>2682</v>
      </c>
    </row>
    <row r="1998" spans="1:1" ht="15" x14ac:dyDescent="0.25">
      <c r="A1998" s="31" t="s">
        <v>2683</v>
      </c>
    </row>
    <row r="1999" spans="1:1" ht="15" x14ac:dyDescent="0.25">
      <c r="A1999" s="31" t="s">
        <v>2684</v>
      </c>
    </row>
    <row r="2000" spans="1:1" ht="15" x14ac:dyDescent="0.25">
      <c r="A2000" s="31" t="s">
        <v>2685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Funções de Texto - Resumo</vt:lpstr>
      <vt:lpstr>Exemplos (Parte 1)</vt:lpstr>
      <vt:lpstr>Exemplos (Parte 2)</vt:lpstr>
      <vt:lpstr>Exemplos (Parte 3)</vt:lpstr>
      <vt:lpstr>Aplicação</vt:lpstr>
      <vt:lpstr>Desafio 1</vt:lpstr>
      <vt:lpstr>Desafio 2</vt:lpstr>
      <vt:lpstr>Preenchimento Relâmpago</vt:lpstr>
      <vt:lpstr>Texto para Colunas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Filipe Augusto</cp:lastModifiedBy>
  <dcterms:created xsi:type="dcterms:W3CDTF">2015-06-05T18:19:34Z</dcterms:created>
  <dcterms:modified xsi:type="dcterms:W3CDTF">2026-01-21T00:24:11Z</dcterms:modified>
</cp:coreProperties>
</file>